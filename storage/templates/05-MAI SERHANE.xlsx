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NARIMENE\01-LES CLIENTS\1-CLIENTS REEL------------CDI----\1-SEKRANE BOUZIANE GR+TRANSPORT\2026\"/>
    </mc:Choice>
  </mc:AlternateContent>
  <xr:revisionPtr revIDLastSave="0" documentId="13_ncr:1_{8D5E438B-42E0-4912-8986-1EBA3BE6229D}" xr6:coauthVersionLast="47" xr6:coauthVersionMax="47" xr10:uidLastSave="{00000000-0000-0000-0000-000000000000}"/>
  <bookViews>
    <workbookView xWindow="-108" yWindow="-108" windowWidth="20376" windowHeight="12216" tabRatio="520" activeTab="3" xr2:uid="{00000000-000D-0000-FFFF-FFFF00000000}"/>
  </bookViews>
  <sheets>
    <sheet name="G50-01" sheetId="1" r:id="rId1"/>
    <sheet name="G50-02" sheetId="2" r:id="rId2"/>
    <sheet name="G50-03" sheetId="3" r:id="rId3"/>
    <sheet name="G50-04" sheetId="4" r:id="rId4"/>
    <sheet name="PG-etat d'achat" sheetId="10" r:id="rId5"/>
    <sheet name="etat d'achat" sheetId="11" r:id="rId6"/>
    <sheet name="CA-GC+TRANSPORT" sheetId="9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1" l="1"/>
  <c r="I13" i="11"/>
  <c r="E34" i="4" s="1"/>
  <c r="D12" i="9" l="1"/>
  <c r="D15" i="9" s="1"/>
  <c r="I17" i="4" s="1"/>
  <c r="K17" i="4" s="1"/>
  <c r="C17" i="9" l="1"/>
  <c r="L21" i="1" l="1"/>
  <c r="L19" i="1"/>
  <c r="C28" i="9"/>
  <c r="E39" i="4"/>
  <c r="D6" i="9"/>
  <c r="D7" i="9"/>
  <c r="D8" i="9"/>
  <c r="E12" i="9"/>
  <c r="J13" i="3"/>
  <c r="D9" i="9" l="1"/>
  <c r="J12" i="3"/>
  <c r="F17" i="4" l="1"/>
  <c r="D17" i="4" s="1"/>
  <c r="D17" i="9"/>
  <c r="E17" i="9"/>
  <c r="D24" i="9"/>
  <c r="D28" i="9" s="1"/>
  <c r="I22" i="4" s="1"/>
  <c r="D22" i="4" s="1"/>
  <c r="D30" i="9" l="1"/>
  <c r="E24" i="9"/>
  <c r="E28" i="9" l="1"/>
  <c r="D31" i="9" s="1"/>
  <c r="K22" i="4"/>
  <c r="K30" i="4" l="1"/>
  <c r="M30" i="4"/>
  <c r="L37" i="4"/>
  <c r="I41" i="11" l="1"/>
  <c r="H40" i="11"/>
  <c r="H39" i="11"/>
  <c r="H38" i="11"/>
  <c r="H37" i="11"/>
  <c r="H36" i="11"/>
  <c r="H35" i="11"/>
  <c r="H34" i="11"/>
  <c r="H33" i="11"/>
  <c r="H32" i="11"/>
  <c r="H31" i="11"/>
  <c r="H13" i="11"/>
  <c r="S39" i="10"/>
  <c r="F39" i="10"/>
  <c r="I9" i="10"/>
  <c r="I8" i="10"/>
  <c r="H41" i="11" l="1"/>
  <c r="E18" i="3" l="1"/>
  <c r="L34" i="1" l="1"/>
  <c r="E20" i="3" s="1"/>
  <c r="K29" i="4" l="1"/>
  <c r="K28" i="4"/>
  <c r="K27" i="4"/>
  <c r="K26" i="4"/>
  <c r="K25" i="4"/>
  <c r="K24" i="4"/>
  <c r="K23" i="4"/>
  <c r="K21" i="4"/>
  <c r="K20" i="4"/>
  <c r="K19" i="4"/>
  <c r="K18" i="4"/>
  <c r="D18" i="4"/>
  <c r="F30" i="4"/>
  <c r="D30" i="4"/>
  <c r="K16" i="4"/>
  <c r="K13" i="4"/>
  <c r="K12" i="4"/>
  <c r="K11" i="4"/>
  <c r="K10" i="4"/>
  <c r="K9" i="4"/>
  <c r="K8" i="4"/>
  <c r="A27" i="3"/>
  <c r="E24" i="3"/>
  <c r="A24" i="3"/>
  <c r="K14" i="3"/>
  <c r="J14" i="3"/>
  <c r="H14" i="3"/>
  <c r="K8" i="3"/>
  <c r="J8" i="3"/>
  <c r="E26" i="3" s="1"/>
  <c r="H8" i="3"/>
  <c r="D5" i="3"/>
  <c r="I3" i="3"/>
  <c r="J1" i="3"/>
  <c r="D32" i="2"/>
  <c r="C32" i="2"/>
  <c r="F15" i="2"/>
  <c r="F14" i="2"/>
  <c r="F12" i="2"/>
  <c r="F10" i="2"/>
  <c r="F9" i="2"/>
  <c r="F32" i="2" s="1"/>
  <c r="J45" i="1"/>
  <c r="L42" i="1"/>
  <c r="L45" i="1" s="1"/>
  <c r="J25" i="3" l="1"/>
  <c r="E27" i="3"/>
  <c r="I30" i="4"/>
  <c r="L32" i="4"/>
  <c r="L36" i="4" s="1"/>
  <c r="L38" i="4" l="1"/>
  <c r="E28" i="3" s="1"/>
  <c r="E30" i="3" s="1"/>
  <c r="L40" i="4"/>
</calcChain>
</file>

<file path=xl/sharedStrings.xml><?xml version="1.0" encoding="utf-8"?>
<sst xmlns="http://schemas.openxmlformats.org/spreadsheetml/2006/main" count="430" uniqueCount="341">
  <si>
    <t xml:space="preserve">      Serie G. N°50 (2025)</t>
  </si>
  <si>
    <t>DIRECTION GENERALE DES IMPOTS</t>
  </si>
  <si>
    <t>Année:</t>
  </si>
  <si>
    <t>IMPOTS ET TAXES PERCUS AU COMPTANT</t>
  </si>
  <si>
    <t xml:space="preserve">    Direction des Impôts</t>
  </si>
  <si>
    <t>OU PAR VOIE DE RETENUE A LA SOURCE</t>
  </si>
  <si>
    <t>Wilaya de :</t>
  </si>
  <si>
    <t>SIDI BEL ABBES</t>
  </si>
  <si>
    <t>Mois :</t>
  </si>
  <si>
    <t>DECLARATION TENANT LIEU DE BORDEREAU-AVIS DE VERSEMENT</t>
  </si>
  <si>
    <t xml:space="preserve">            Inspection des impôts</t>
  </si>
  <si>
    <t>Trimestre</t>
  </si>
  <si>
    <t>de :</t>
  </si>
  <si>
    <t>DGE</t>
  </si>
  <si>
    <t>M.</t>
  </si>
  <si>
    <t xml:space="preserve">        Recette des impôts </t>
  </si>
  <si>
    <t>A rappeler</t>
  </si>
  <si>
    <t>obligatoirement</t>
  </si>
  <si>
    <t>Activité:</t>
  </si>
  <si>
    <t>Commune:</t>
  </si>
  <si>
    <t>Adresse:</t>
  </si>
  <si>
    <t xml:space="preserve"> Identifiant fiscal / N.I.S</t>
  </si>
  <si>
    <t>CODE ACTIVITE</t>
  </si>
  <si>
    <t xml:space="preserve"> Article d'imposition</t>
  </si>
  <si>
    <t>BP</t>
  </si>
  <si>
    <t>IBS/ ICBS : Acompte / Solde de liquidation</t>
  </si>
  <si>
    <t>Code</t>
  </si>
  <si>
    <t xml:space="preserve">Acompte /solde de liquidation IBS/ICBS </t>
  </si>
  <si>
    <t xml:space="preserve">Détermination de l’acompte provisionnel/ solde de liquidation </t>
  </si>
  <si>
    <t xml:space="preserve">Montant à payer (DA) </t>
  </si>
  <si>
    <t>E1M10</t>
  </si>
  <si>
    <t>Solde de liquidation IBS</t>
  </si>
  <si>
    <t>Acompte  provisionnel ICBS</t>
  </si>
  <si>
    <t>Solde de liquidation ICBS</t>
  </si>
  <si>
    <t>TOTAL</t>
  </si>
  <si>
    <t xml:space="preserve">IBS : Retenues à la source </t>
  </si>
  <si>
    <t xml:space="preserve">Catégories de revenus soumis à une retenue à la source IBS </t>
  </si>
  <si>
    <t xml:space="preserve">Base imposable </t>
  </si>
  <si>
    <t xml:space="preserve">    Taux</t>
  </si>
  <si>
    <t>Montant à payer (DA)</t>
  </si>
  <si>
    <t>E1M30</t>
  </si>
  <si>
    <r>
      <rPr>
        <sz val="9"/>
        <rFont val="Microsoft Sans Serif"/>
        <family val="2"/>
      </rPr>
      <t>IBS/Revenus des entreprises étrangères non installées en Algérie (prestations de services) (1)</t>
    </r>
  </si>
  <si>
    <t>……………….…%</t>
  </si>
  <si>
    <t>E1M40</t>
  </si>
  <si>
    <t>IBS/Autres retenues à la source</t>
  </si>
  <si>
    <t>(1)Joindre le relevé  détaillé  des retenues  à la  source  par  entreprise.</t>
  </si>
  <si>
    <t>IRG (BIC/BNC/RA): Acompte / Solde de liquidation</t>
  </si>
  <si>
    <t>Acompte/ Solde de liquidation</t>
  </si>
  <si>
    <t>Détermination de l’acompte provisionnel/ solde de liquidation</t>
  </si>
  <si>
    <t>Solde de liquidation</t>
  </si>
  <si>
    <t>IRG / Traitements et salaires et autres retenues à la source</t>
  </si>
  <si>
    <t>CODE</t>
  </si>
  <si>
    <t xml:space="preserve"> Catégories de revenus soumis à une retenue à la source</t>
  </si>
  <si>
    <t>Revenu imposable</t>
  </si>
  <si>
    <t>Taux</t>
  </si>
  <si>
    <t>MONTANT A payer (D.A)</t>
  </si>
  <si>
    <t>IRG/Salaires</t>
  </si>
  <si>
    <t>E1L20</t>
  </si>
  <si>
    <r>
      <t xml:space="preserve"> IRG </t>
    </r>
    <r>
      <rPr>
        <sz val="9"/>
        <rFont val="Geneva"/>
        <family val="2"/>
      </rPr>
      <t>/ Traitements,salaires, pensions et rentes viagères</t>
    </r>
  </si>
  <si>
    <t>Barème</t>
  </si>
  <si>
    <t xml:space="preserve">Autres </t>
  </si>
  <si>
    <t>E1L30</t>
  </si>
  <si>
    <r>
      <t xml:space="preserve"> IRG</t>
    </r>
    <r>
      <rPr>
        <sz val="9"/>
        <rFont val="Geneva"/>
        <family val="2"/>
      </rPr>
      <t xml:space="preserve"> / RCDC (titres nominatifs)</t>
    </r>
  </si>
  <si>
    <t xml:space="preserve">retenues </t>
  </si>
  <si>
    <t>E1L40</t>
  </si>
  <si>
    <r>
      <t xml:space="preserve"> IRG</t>
    </r>
    <r>
      <rPr>
        <sz val="9"/>
        <rFont val="Geneva"/>
        <family val="2"/>
      </rPr>
      <t xml:space="preserve"> / Bénéfices distribués par les sociétés de capitaux</t>
    </r>
  </si>
  <si>
    <t>IRG</t>
  </si>
  <si>
    <t>E1L60</t>
  </si>
  <si>
    <r>
      <t xml:space="preserve"> IRG</t>
    </r>
    <r>
      <rPr>
        <sz val="9"/>
        <rFont val="Geneva"/>
        <family val="2"/>
      </rPr>
      <t xml:space="preserve"> / Revenus des bons de caisse anonymes</t>
    </r>
  </si>
  <si>
    <t>E1L80</t>
  </si>
  <si>
    <r>
      <t xml:space="preserve"> IRG</t>
    </r>
    <r>
      <rPr>
        <sz val="9"/>
        <rFont val="Geneva"/>
        <family val="2"/>
      </rPr>
      <t xml:space="preserve"> / Autres retenues à la source</t>
    </r>
  </si>
  <si>
    <t>Retenues</t>
  </si>
  <si>
    <r>
      <t xml:space="preserve"> IBS</t>
    </r>
    <r>
      <rPr>
        <sz val="9"/>
        <rFont val="Geneva"/>
        <family val="2"/>
      </rPr>
      <t xml:space="preserve"> / Entreprises étrangères non installées (Prest. services) (1)</t>
    </r>
  </si>
  <si>
    <t>IBS</t>
  </si>
  <si>
    <r>
      <t xml:space="preserve"> IBS</t>
    </r>
    <r>
      <rPr>
        <sz val="9"/>
        <rFont val="Geneva"/>
        <family val="2"/>
      </rPr>
      <t xml:space="preserve"> / Autres retenues à la source</t>
    </r>
  </si>
  <si>
    <t xml:space="preserve">  (1) Joindre relevé détaillé des retenues</t>
  </si>
  <si>
    <t xml:space="preserve">                         TOTAL</t>
  </si>
  <si>
    <t>TAXE LOCALE DE SOLIDARITE  ( T.L.S )</t>
  </si>
  <si>
    <t xml:space="preserve">Opérations Imposables </t>
  </si>
  <si>
    <t>Chiffre d'affaires</t>
  </si>
  <si>
    <t xml:space="preserve">Chiffre d'affaires Imposables Recette Professionnelles imposables </t>
  </si>
  <si>
    <t xml:space="preserve">TAUX </t>
  </si>
  <si>
    <t>Total</t>
  </si>
  <si>
    <t xml:space="preserve">1-Régime paiement mensuel : </t>
  </si>
  <si>
    <t xml:space="preserve">1) Activité de transport par canalisation des hydrocarbures : </t>
  </si>
  <si>
    <t xml:space="preserve">2) Activité miniéres : </t>
  </si>
  <si>
    <t>Opérations sans réfaction : …………………</t>
  </si>
  <si>
    <t>Opération bénéficent de la réfaction de 30% …………….</t>
  </si>
  <si>
    <t xml:space="preserve">Opérations exonéréés ou non imposables </t>
  </si>
  <si>
    <t>-AAPI …………………………32%……………………</t>
  </si>
  <si>
    <t>-ANDI ………………………………………………</t>
  </si>
  <si>
    <t>-ANSEJ………………………………………………</t>
  </si>
  <si>
    <t>-ANGEM ………………………………………………</t>
  </si>
  <si>
    <t>-CNAC ………………………………………………</t>
  </si>
  <si>
    <t>-Opérations Intra groupe ………………………………………………</t>
  </si>
  <si>
    <t>-Opérations Inter-Unités ……………………………………</t>
  </si>
  <si>
    <t>-Autres………………………………………………</t>
  </si>
  <si>
    <t> Option pour le régime des acomptes provisionnels (1</t>
  </si>
  <si>
    <t>II-Régime des acomptes provisionneles</t>
  </si>
  <si>
    <t xml:space="preserve"> 1)   Activité de transport par canalisation des hydrocarbures :</t>
  </si>
  <si>
    <t>Période de référence………………………….. Ou Date et montant notifié………………………………..</t>
  </si>
  <si>
    <t>    Montant de l’acompte …………………………………..</t>
  </si>
  <si>
    <t>      Montant du solde de liquidation………………………</t>
  </si>
  <si>
    <t xml:space="preserve">2)      Activité miniéres : </t>
  </si>
  <si>
    <t xml:space="preserve">       TOTAL GENERAL DES C.A</t>
  </si>
  <si>
    <t xml:space="preserve"> Opérations imposables</t>
  </si>
  <si>
    <t>CA imposable</t>
  </si>
  <si>
    <t>A payer (D.A)</t>
  </si>
  <si>
    <t>Droit de</t>
  </si>
  <si>
    <t>E2E00</t>
  </si>
  <si>
    <t>MAI</t>
  </si>
  <si>
    <t>Timbre</t>
  </si>
  <si>
    <t xml:space="preserve">  Sur Etat</t>
  </si>
  <si>
    <t>Impôts et taxes</t>
  </si>
  <si>
    <t>non repris</t>
  </si>
  <si>
    <t>ci-dessus</t>
  </si>
  <si>
    <t>RECAPITULATION (EN D.A)</t>
  </si>
  <si>
    <t xml:space="preserve">     Cadre réservé au contribuable</t>
  </si>
  <si>
    <t xml:space="preserve">         Cadre réservé à la recette</t>
  </si>
  <si>
    <t xml:space="preserve">  Cadre resérvé à l'inspection</t>
  </si>
  <si>
    <r>
      <t xml:space="preserve"> Reçu</t>
    </r>
    <r>
      <rPr>
        <sz val="9"/>
        <rFont val="Arial"/>
        <family val="2"/>
      </rPr>
      <t xml:space="preserve"> ce jour la présente </t>
    </r>
  </si>
  <si>
    <t>Eenregistrée le :</t>
  </si>
  <si>
    <t xml:space="preserve"> 1 - TAP</t>
  </si>
  <si>
    <t xml:space="preserve">AP/SL-IBS/ICBS </t>
  </si>
  <si>
    <t>C/500026/A</t>
  </si>
  <si>
    <t xml:space="preserve"> Certifie sincère et véritable</t>
  </si>
  <si>
    <t xml:space="preserve"> déclaration enregistrée</t>
  </si>
  <si>
    <t>………………………………………</t>
  </si>
  <si>
    <t xml:space="preserve"> 2 - AP/IBS</t>
  </si>
  <si>
    <t xml:space="preserve">IRG/Retenues à la source </t>
  </si>
  <si>
    <t>C/201001/M1</t>
  </si>
  <si>
    <t xml:space="preserve"> le contenu de la présente</t>
  </si>
  <si>
    <t xml:space="preserve"> sous le n° …………………..</t>
  </si>
  <si>
    <t>Observarions éventuelles</t>
  </si>
  <si>
    <t xml:space="preserve"> 3 - AP/SL-IRG (BIC/BNC) et AP/RA </t>
  </si>
  <si>
    <t>C/500026/C</t>
  </si>
  <si>
    <t xml:space="preserve"> déclaration conforme</t>
  </si>
  <si>
    <t xml:space="preserve"> Payée par</t>
  </si>
  <si>
    <t xml:space="preserve"> 3/1 - IRG/Salaires</t>
  </si>
  <si>
    <t>C/201001/100</t>
  </si>
  <si>
    <t xml:space="preserve"> aux documents comptables</t>
  </si>
  <si>
    <t xml:space="preserve"> Chq banque N°…………………</t>
  </si>
  <si>
    <t xml:space="preserve"> 3/2 - IRG/Autres retenues</t>
  </si>
  <si>
    <t>C/201001/101/A/B/C</t>
  </si>
  <si>
    <t xml:space="preserve"> A :</t>
  </si>
  <si>
    <t xml:space="preserve"> du …….......Agence………</t>
  </si>
  <si>
    <t xml:space="preserve"> 3/3 - IBS Ret. à la source</t>
  </si>
  <si>
    <t>C/201001/M2 et 3</t>
  </si>
  <si>
    <t xml:space="preserve"> le :</t>
  </si>
  <si>
    <t xml:space="preserve"> Chq poste……… du………….</t>
  </si>
  <si>
    <t>C/201003/303/A/B</t>
  </si>
  <si>
    <t xml:space="preserve">  4- T. L. S </t>
  </si>
  <si>
    <t>C/</t>
  </si>
  <si>
    <t xml:space="preserve">    Cachet,                     Signature</t>
  </si>
  <si>
    <r>
      <t xml:space="preserve"> Prise en recette</t>
    </r>
    <r>
      <rPr>
        <sz val="9"/>
        <rFont val="Arial"/>
        <family val="2"/>
      </rPr>
      <t xml:space="preserve"> </t>
    </r>
  </si>
  <si>
    <t xml:space="preserve"> 5 - Droit de timbre</t>
  </si>
  <si>
    <t>C/201002/201</t>
  </si>
  <si>
    <t xml:space="preserve"> par quit. N° …………………</t>
  </si>
  <si>
    <t>C/……………</t>
  </si>
  <si>
    <t xml:space="preserve"> A ………..…le………………</t>
  </si>
  <si>
    <t xml:space="preserve"> 7 - TVA</t>
  </si>
  <si>
    <t>C/201003/300/A/B/C</t>
  </si>
  <si>
    <t xml:space="preserve"> Le receveur des impôts</t>
  </si>
  <si>
    <t xml:space="preserve">  Cachet,         Signature</t>
  </si>
  <si>
    <t xml:space="preserve">          MONTANT TOTAL A PAYER </t>
  </si>
  <si>
    <t>Les chiffres d'affaires et les revenus sont inscrits</t>
  </si>
  <si>
    <t>TAXE SUR LA VALEUR AJOUTEE</t>
  </si>
  <si>
    <t>en dinars, le dernier chiffre étant ramené au zéro</t>
  </si>
  <si>
    <t>Exemple 325.626 DA = 325.620</t>
  </si>
  <si>
    <t>A/ Chiffres d'affaires imposables</t>
  </si>
  <si>
    <t>Montant des</t>
  </si>
  <si>
    <r>
      <t>Opérations assujetties à la</t>
    </r>
    <r>
      <rPr>
        <b/>
        <sz val="10"/>
        <rFont val="Geneva"/>
        <family val="2"/>
      </rPr>
      <t xml:space="preserve"> </t>
    </r>
    <r>
      <rPr>
        <sz val="10"/>
        <rFont val="Geneva"/>
        <family val="2"/>
      </rPr>
      <t>TVA</t>
    </r>
  </si>
  <si>
    <t>Exonéré</t>
  </si>
  <si>
    <t>Imposable</t>
  </si>
  <si>
    <t>droits (en DA)</t>
  </si>
  <si>
    <t>E3B11</t>
  </si>
  <si>
    <t xml:space="preserve"> Biens produits et denrées (art. 23 du CTVA)</t>
  </si>
  <si>
    <t>E3B12</t>
  </si>
  <si>
    <t xml:space="preserve"> Prestations de services (art. 23 du CTVA)</t>
  </si>
  <si>
    <t>"</t>
  </si>
  <si>
    <t>E3B13</t>
  </si>
  <si>
    <t xml:space="preserve"> Opérations immobilières (art. 23 du CTVA)</t>
  </si>
  <si>
    <t>E3B14</t>
  </si>
  <si>
    <t>Actes Médicaux</t>
  </si>
  <si>
    <t>E3B15</t>
  </si>
  <si>
    <t>Commissionnaire £ cortiers</t>
  </si>
  <si>
    <t>E3B16</t>
  </si>
  <si>
    <t>Fournitured'énergie</t>
  </si>
  <si>
    <t>E3B21</t>
  </si>
  <si>
    <t>Production : biens, produits, denrées</t>
  </si>
  <si>
    <t>E3B22</t>
  </si>
  <si>
    <t>E3B23</t>
  </si>
  <si>
    <t>Travaux immobiliers autres que ceux de 7%</t>
  </si>
  <si>
    <t>E3B24</t>
  </si>
  <si>
    <t>Professions Libérales</t>
  </si>
  <si>
    <t>E3B25</t>
  </si>
  <si>
    <t xml:space="preserve"> Opérations de banques et assurances</t>
  </si>
  <si>
    <t>E3B26</t>
  </si>
  <si>
    <t xml:space="preserve"> Prestations de téléphone et télex</t>
  </si>
  <si>
    <t>E3B28</t>
  </si>
  <si>
    <t>E3B31</t>
  </si>
  <si>
    <t xml:space="preserve"> Débits de boissons</t>
  </si>
  <si>
    <t>E3B32</t>
  </si>
  <si>
    <t xml:space="preserve"> Production biens et denrées  (art. 21 CTVA)</t>
  </si>
  <si>
    <t>E3B33</t>
  </si>
  <si>
    <t xml:space="preserve"> Reventes en l'état  (art. 21 CTVA)</t>
  </si>
  <si>
    <t>E3B34</t>
  </si>
  <si>
    <t xml:space="preserve"> Tabacs et allumettes</t>
  </si>
  <si>
    <t>E3B35</t>
  </si>
  <si>
    <t xml:space="preserve"> Spectacles jeux divertis autres</t>
  </si>
  <si>
    <t>E3B36</t>
  </si>
  <si>
    <t xml:space="preserve"> Autres prestations (art. 21 CTVA)</t>
  </si>
  <si>
    <t>E3B37</t>
  </si>
  <si>
    <t>Consommations sur place</t>
  </si>
  <si>
    <t xml:space="preserve"> B/ Déductions à opérer</t>
  </si>
  <si>
    <t>C/ TVA à Payer</t>
  </si>
  <si>
    <t xml:space="preserve"> NATURE DES DEDUCTIONS</t>
  </si>
  <si>
    <t>MONTANT</t>
  </si>
  <si>
    <t>C</t>
  </si>
  <si>
    <t>- Total des droits dus</t>
  </si>
  <si>
    <t>E3B91</t>
  </si>
  <si>
    <t xml:space="preserve"> Précompte antérieur</t>
  </si>
  <si>
    <t>E3B97</t>
  </si>
  <si>
    <t xml:space="preserve">  Régularisation du prorata</t>
  </si>
  <si>
    <t>E3B92</t>
  </si>
  <si>
    <r>
      <t xml:space="preserve"> TVA / </t>
    </r>
    <r>
      <rPr>
        <b/>
        <sz val="8"/>
        <rFont val="Geneva"/>
        <family val="2"/>
      </rPr>
      <t>achats</t>
    </r>
    <r>
      <rPr>
        <sz val="8"/>
        <rFont val="Geneva"/>
        <family val="2"/>
      </rPr>
      <t xml:space="preserve"> de matières et </t>
    </r>
    <r>
      <rPr>
        <b/>
        <sz val="8"/>
        <rFont val="Geneva"/>
        <family val="2"/>
      </rPr>
      <t>services</t>
    </r>
    <r>
      <rPr>
        <sz val="8"/>
        <rFont val="Geneva"/>
        <family val="2"/>
      </rPr>
      <t xml:space="preserve"> </t>
    </r>
    <r>
      <rPr>
        <sz val="6"/>
        <rFont val="Geneva"/>
        <family val="2"/>
      </rPr>
      <t>(art.29 CTCA)</t>
    </r>
  </si>
  <si>
    <t xml:space="preserve">  (art.40 CTCA)</t>
  </si>
  <si>
    <t>E3B93</t>
  </si>
  <si>
    <r>
      <t xml:space="preserve"> TVA / achats </t>
    </r>
    <r>
      <rPr>
        <b/>
        <sz val="8"/>
        <rFont val="Geneva"/>
        <family val="2"/>
      </rPr>
      <t>biens amortissables</t>
    </r>
    <r>
      <rPr>
        <sz val="8"/>
        <rFont val="Geneva"/>
        <family val="2"/>
      </rPr>
      <t xml:space="preserve"> </t>
    </r>
    <r>
      <rPr>
        <sz val="6"/>
        <rFont val="Geneva"/>
        <family val="2"/>
      </rPr>
      <t>(art.38 CTCA)</t>
    </r>
  </si>
  <si>
    <t>E3B98</t>
  </si>
  <si>
    <t>- Reversement (art.40 CTCA)</t>
  </si>
  <si>
    <t>E3B94</t>
  </si>
  <si>
    <r>
      <t xml:space="preserve"> Régularisation </t>
    </r>
    <r>
      <rPr>
        <b/>
        <sz val="8"/>
        <rFont val="Geneva"/>
        <family val="2"/>
      </rPr>
      <t>prorata</t>
    </r>
    <r>
      <rPr>
        <sz val="8"/>
        <rFont val="Geneva"/>
        <family val="2"/>
      </rPr>
      <t xml:space="preserve"> déduction (art.40 CTCA)</t>
    </r>
  </si>
  <si>
    <t>TOTAL A RAPPELER  (C)</t>
  </si>
  <si>
    <t>E3B95</t>
  </si>
  <si>
    <r>
      <t xml:space="preserve"> TVA / </t>
    </r>
    <r>
      <rPr>
        <b/>
        <sz val="8"/>
        <rFont val="Geneva"/>
        <family val="2"/>
      </rPr>
      <t>factures annulées</t>
    </r>
    <r>
      <rPr>
        <sz val="8"/>
        <rFont val="Geneva"/>
        <family val="2"/>
      </rPr>
      <t xml:space="preserve"> ou imp (art.18 CTCA)</t>
    </r>
  </si>
  <si>
    <t>B</t>
  </si>
  <si>
    <t>- Total des déductions</t>
  </si>
  <si>
    <t>E3B96</t>
  </si>
  <si>
    <r>
      <t xml:space="preserve"> Autres déductions</t>
    </r>
    <r>
      <rPr>
        <sz val="6"/>
        <rFont val="Geneva"/>
        <family val="2"/>
      </rPr>
      <t xml:space="preserve"> (Notification de précomptes, etc.)</t>
    </r>
  </si>
  <si>
    <t>E3B00</t>
  </si>
  <si>
    <t>A PAYER au titre du mois (C-B)</t>
  </si>
  <si>
    <t xml:space="preserve">     Total des déductions a opérer(B)</t>
  </si>
  <si>
    <t>(A porter dans cadre récapitulation)</t>
  </si>
  <si>
    <t>E3B99</t>
  </si>
  <si>
    <t xml:space="preserve">  PRECOMPTE à reporter(B-C)</t>
  </si>
  <si>
    <t>Acompte  provisionnel N°02 2025</t>
  </si>
  <si>
    <t>Acompte  provisionnel IBS N°2  2025</t>
  </si>
  <si>
    <t>SEKRANE  BOUZIANE</t>
  </si>
  <si>
    <t xml:space="preserve"> Autres prestations de services TRANSPORTS</t>
  </si>
  <si>
    <t>SERVICES TRANSPORT &amp; GROUPE COMMERCIAL DOUAA-BUSNESS</t>
  </si>
  <si>
    <t>Revente en l'état : biens, produits, denrées GC</t>
  </si>
  <si>
    <t>CITE DERRAR ESSALAMA  N°48</t>
  </si>
  <si>
    <t xml:space="preserve">     الجمهورية الجزائرية الديمقراطية الشعبية</t>
  </si>
  <si>
    <t xml:space="preserve"> Série G N°912(2025)</t>
  </si>
  <si>
    <t xml:space="preserve">REPUBLIQUE ALGERIENNE DEMOCRATIQUE ET POPULAIRE </t>
  </si>
  <si>
    <t xml:space="preserve">MINISTERE DES FINANCES </t>
  </si>
  <si>
    <t xml:space="preserve">وزارة المالية </t>
  </si>
  <si>
    <t xml:space="preserve">Direction Générale des Impôts </t>
  </si>
  <si>
    <t xml:space="preserve">المديرية العامة للضرائب </t>
  </si>
  <si>
    <t>Direction:</t>
  </si>
  <si>
    <t>مديرية :</t>
  </si>
  <si>
    <t xml:space="preserve">Structure </t>
  </si>
  <si>
    <t>المصلحة :</t>
  </si>
  <si>
    <t xml:space="preserve">کــشـــف المــورديــن </t>
  </si>
  <si>
    <t xml:space="preserve">ETAT DES FOURNISSEURS </t>
  </si>
  <si>
    <t xml:space="preserve"> - المادة 29 من قانون الرسوم على رقم الاعمال </t>
  </si>
  <si>
    <t xml:space="preserve"> - Article 29 du Code des Taxes sur le Chiffre d'Affaires-</t>
  </si>
  <si>
    <t>Période</t>
  </si>
  <si>
    <t xml:space="preserve">يجب أن يرفق هذا الكشف بالتصريح الذي يقوم مقام حافظة إشعار بالتسديد سلسلة G رقم 50 </t>
  </si>
  <si>
    <t xml:space="preserve">Le présent état doit être annexé à la déclaration tenant lieu de bordereau avis de versement série G N°50 </t>
  </si>
  <si>
    <t xml:space="preserve">I – IDENTIFICATION DU CONTRIBUABLE </t>
  </si>
  <si>
    <t xml:space="preserve"> معلومات خاصة بالمكلف بالضريبة </t>
  </si>
  <si>
    <t>I</t>
  </si>
  <si>
    <t xml:space="preserve"> - Nom, Prénoms / Raison Sociale :</t>
  </si>
  <si>
    <t>الاسم واللقب /اسم المؤسسة :</t>
  </si>
  <si>
    <t>-</t>
  </si>
  <si>
    <t xml:space="preserve"> - Adresse :</t>
  </si>
  <si>
    <t>العنوان :</t>
  </si>
  <si>
    <t xml:space="preserve"> - Numéro d’Identification Fiscale (NIF)</t>
  </si>
  <si>
    <t>رقم التعريف الحبائي :</t>
  </si>
  <si>
    <t xml:space="preserve"> - Numéro d’Identification Fiscale (NIN)</t>
  </si>
  <si>
    <t>رقم التعريف الوطني :</t>
  </si>
  <si>
    <t xml:space="preserve"> - Numéro d’article d’imposition :</t>
  </si>
  <si>
    <t>رقم المادة :</t>
  </si>
  <si>
    <t>NEANT</t>
  </si>
  <si>
    <t>Arrêté le présent état contenant</t>
  </si>
  <si>
    <t xml:space="preserve">page (s) numérotée(s) de 1 à </t>
  </si>
  <si>
    <t xml:space="preserve">la somme totale de la taxe sur la valeur ajoutée déduite de  </t>
  </si>
  <si>
    <t>المبلغ الإجمالي للرسم على القيمة المضافة المخصوم</t>
  </si>
  <si>
    <t xml:space="preserve">إلى </t>
  </si>
  <si>
    <t>صفحة مرقمة من</t>
  </si>
  <si>
    <t>يوقف حساب هذا الكشف وهو يحتوي على عدد</t>
  </si>
  <si>
    <t xml:space="preserve">J'atteste que les renseignements portés sur le présent état sont exacts. </t>
  </si>
  <si>
    <t xml:space="preserve">أقر بصحة المعلومات الواردة في هذا الكشف </t>
  </si>
  <si>
    <t>A</t>
  </si>
  <si>
    <t>Le</t>
  </si>
  <si>
    <t>في</t>
  </si>
  <si>
    <t>بـ</t>
  </si>
  <si>
    <t xml:space="preserve">Signature du contribuable </t>
  </si>
  <si>
    <t>إمضاء المكلف بالضريبة</t>
  </si>
  <si>
    <t xml:space="preserve">Série G N°9 intercalaire (2025) </t>
  </si>
  <si>
    <t>رقم التعريف الوطني</t>
  </si>
  <si>
    <t>رقم التعريف الجبائي</t>
  </si>
  <si>
    <t xml:space="preserve">العنوان </t>
  </si>
  <si>
    <t xml:space="preserve">رقم التسجيل في السجل التجاري  </t>
  </si>
  <si>
    <t xml:space="preserve">تاريخ الفاتورة أو أي مستند بدلا من ذلك </t>
  </si>
  <si>
    <t xml:space="preserve">مرجع الفاتورة أو أي مستند بدلا من ذلك </t>
  </si>
  <si>
    <t xml:space="preserve">مبلغ المشتريات المنجزة أو الخدمات المقدمة مع احتساب كل الرسوم </t>
  </si>
  <si>
    <t xml:space="preserve">مبلغ الرسم علي القيمة المضافة المخصوم (*) </t>
  </si>
  <si>
    <t xml:space="preserve">Numéro d'Identification national             (NIN)    </t>
  </si>
  <si>
    <t>Numéro d'identifiant fiscale (NIF)</t>
  </si>
  <si>
    <t xml:space="preserve">Adresse </t>
  </si>
  <si>
    <t xml:space="preserve">Numéro d'inscription      au registre de commerce </t>
  </si>
  <si>
    <t xml:space="preserve">Date   de   la facture     ou autres. documents tenant lieu </t>
  </si>
  <si>
    <t xml:space="preserve">Référence de la facture ou autres documents tenant lieu </t>
  </si>
  <si>
    <t xml:space="preserve">Montant TTC des achats effectués ou des prestations reçues </t>
  </si>
  <si>
    <t xml:space="preserve">Montant de la taxe   sur   la valeur ajoutée déduite (*) </t>
  </si>
  <si>
    <t xml:space="preserve">(*) الرسم على القيمة الواجب ذكره هو الرسم المخصوم فعليا خلال الشهر أو الفترة المعنية موضوع هذا الكشف مع الأخذ بعين الاعتبار الحدث المنشئ لهذا الرسم. </t>
  </si>
  <si>
    <t xml:space="preserve">(*)La TVA à mentionner est celle effectivement déduite durant le mois ou la période considérée, objet de cet état fournisseurs, tenant compte du fait générateur de cette taxe. </t>
  </si>
  <si>
    <t xml:space="preserve">Page n".... </t>
  </si>
  <si>
    <t>رقم الصفحة</t>
  </si>
  <si>
    <t>REPORT***</t>
  </si>
  <si>
    <t>DATE</t>
  </si>
  <si>
    <t>TTC</t>
  </si>
  <si>
    <t>HT</t>
  </si>
  <si>
    <t>TVA</t>
  </si>
  <si>
    <t>SEKRANE BOUZIANE GROUPE COMMERCIAL &amp; SERVICES DE TRANSPORTS</t>
  </si>
  <si>
    <t>CITE SALAMA DERRAR N°48 SIDI BEL ABBES</t>
  </si>
  <si>
    <t>GROUPE COMMERCIAL</t>
  </si>
  <si>
    <t>2026</t>
  </si>
  <si>
    <t>AutresTFPP-2025-GC+TRANSPORT</t>
  </si>
  <si>
    <t>HT TOAL</t>
  </si>
  <si>
    <t>TVA TOTAL</t>
  </si>
  <si>
    <t xml:space="preserve"> RELEVE DU 01/02 AU 28/02/2026</t>
  </si>
  <si>
    <t xml:space="preserve">TRANSPORT </t>
  </si>
  <si>
    <t>G50-AVRIL -</t>
  </si>
  <si>
    <t xml:space="preserve"> RELEVE DU 01/04 AU 30/04/2026</t>
  </si>
  <si>
    <t>EXO</t>
  </si>
  <si>
    <t>IMPO</t>
  </si>
  <si>
    <t>2emm acompt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</si>
</sst>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mmmm"/>
    <numFmt numFmtId="167" formatCode="_-* #,##0\ _F_-;\-* #,##0\ _F_-;_-* &quot;-&quot;\ _F_-;_-@_-"/>
    <numFmt numFmtId="168" formatCode="00000"/>
    <numFmt numFmtId="169" formatCode="_-* #,##0\ _-;\-* #,##0\ _-;_-* &quot;-&quot;\ _F_-;_-@_-"/>
    <numFmt numFmtId="170" formatCode="0.0%"/>
    <numFmt numFmtId="171" formatCode="_-* #,##0\ _€_-;\-* #,##0\ _€_-;_-* &quot;-&quot;??\ _€_-;_-@_-"/>
    <numFmt numFmtId="172" formatCode="_-* #,##0.00_-;_-* #,##0.00\-;_-* &quot;-&quot;??_-;_-@_-"/>
    <numFmt numFmtId="173" formatCode="[$-40C]mmmm\-yy;@"/>
  </numFmts>
  <fonts count="9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Geneva"/>
      <family val="2"/>
    </font>
    <font>
      <sz val="8"/>
      <name val="Geneva"/>
      <family val="2"/>
    </font>
    <font>
      <sz val="11"/>
      <name val="Geneva"/>
      <family val="2"/>
    </font>
    <font>
      <b/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sz val="11"/>
      <name val="Arial"/>
      <family val="2"/>
    </font>
    <font>
      <b/>
      <sz val="6"/>
      <name val="Geneva"/>
      <family val="2"/>
    </font>
    <font>
      <b/>
      <sz val="11"/>
      <name val="Geneva"/>
      <family val="2"/>
    </font>
    <font>
      <sz val="10"/>
      <name val="Geneva"/>
      <family val="2"/>
    </font>
    <font>
      <sz val="10"/>
      <color rgb="FFFF0000"/>
      <name val="Geneva"/>
    </font>
    <font>
      <b/>
      <sz val="11"/>
      <name val="Times New Roman"/>
      <family val="1"/>
    </font>
    <font>
      <b/>
      <sz val="11"/>
      <name val="Geneva"/>
    </font>
    <font>
      <b/>
      <sz val="9"/>
      <name val="Microsoft Sans Serif"/>
      <family val="2"/>
    </font>
    <font>
      <sz val="10"/>
      <name val="Microsoft Sans Serif"/>
      <family val="2"/>
    </font>
    <font>
      <sz val="9"/>
      <name val="Microsoft Sans Serif"/>
      <family val="2"/>
    </font>
    <font>
      <b/>
      <sz val="12"/>
      <name val="Times New Roman"/>
      <family val="1"/>
    </font>
    <font>
      <sz val="9"/>
      <name val="Geneva"/>
    </font>
    <font>
      <b/>
      <sz val="12"/>
      <name val="Geneva"/>
      <family val="2"/>
    </font>
    <font>
      <b/>
      <sz val="11"/>
      <color rgb="FFFF0000"/>
      <name val="Arial"/>
      <family val="2"/>
    </font>
    <font>
      <sz val="9"/>
      <name val="Arial"/>
      <family val="2"/>
    </font>
    <font>
      <b/>
      <sz val="9"/>
      <name val="Geneva"/>
    </font>
    <font>
      <b/>
      <sz val="10"/>
      <name val="Microsoft Sans Serif"/>
      <family val="2"/>
    </font>
    <font>
      <b/>
      <sz val="10"/>
      <name val="Geneva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Geneva"/>
    </font>
    <font>
      <sz val="9"/>
      <name val="Times New Roman"/>
      <family val="1"/>
    </font>
    <font>
      <b/>
      <u val="double"/>
      <sz val="11"/>
      <name val="Geneva"/>
    </font>
    <font>
      <sz val="8"/>
      <color rgb="FFFF0000"/>
      <name val="Geneva"/>
      <family val="2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2"/>
      <name val="Geneva"/>
      <family val="2"/>
    </font>
    <font>
      <b/>
      <sz val="9"/>
      <name val="Times New Roman"/>
      <family val="1"/>
    </font>
    <font>
      <sz val="8"/>
      <color rgb="FF000000"/>
      <name val="Geneva"/>
    </font>
    <font>
      <b/>
      <sz val="8"/>
      <color rgb="FF000080"/>
      <name val="Geneva"/>
    </font>
    <font>
      <b/>
      <sz val="9"/>
      <name val="Arial"/>
      <family val="2"/>
    </font>
    <font>
      <sz val="8"/>
      <name val="Times New Roman"/>
      <family val="1"/>
    </font>
    <font>
      <sz val="7"/>
      <name val="Geneva"/>
      <family val="2"/>
    </font>
    <font>
      <sz val="10"/>
      <name val="Webdings"/>
      <family val="1"/>
      <charset val="2"/>
    </font>
    <font>
      <sz val="10"/>
      <name val="Times New Roman"/>
      <family val="1"/>
    </font>
    <font>
      <b/>
      <sz val="14"/>
      <name val="Geneva"/>
      <family val="2"/>
    </font>
    <font>
      <b/>
      <u/>
      <sz val="12"/>
      <name val="Geneva"/>
      <family val="2"/>
    </font>
    <font>
      <sz val="6"/>
      <name val="Geneva"/>
      <family val="2"/>
    </font>
    <font>
      <sz val="10"/>
      <name val="Arial Rounded MT Bold"/>
      <family val="2"/>
    </font>
    <font>
      <sz val="12"/>
      <name val="Arial Black"/>
      <family val="2"/>
    </font>
    <font>
      <sz val="11"/>
      <name val="Arial Rounded MT Bold"/>
      <family val="2"/>
    </font>
    <font>
      <sz val="10"/>
      <name val="Lucida Sans Typewriter"/>
      <family val="3"/>
    </font>
    <font>
      <b/>
      <sz val="12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5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Cambria"/>
      <family val="1"/>
    </font>
    <font>
      <b/>
      <sz val="11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mbria"/>
      <family val="1"/>
    </font>
    <font>
      <b/>
      <sz val="14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theme="1"/>
      <name val="Cambria"/>
      <family val="1"/>
    </font>
    <font>
      <b/>
      <sz val="16"/>
      <color theme="1"/>
      <name val="Cambria"/>
      <family val="1"/>
    </font>
    <font>
      <b/>
      <sz val="10"/>
      <color theme="1"/>
      <name val="Arial"/>
      <family val="2"/>
    </font>
    <font>
      <b/>
      <sz val="12"/>
      <color theme="1"/>
      <name val="Tahoma"/>
      <family val="2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Geneva"/>
      <charset val="134"/>
    </font>
    <font>
      <b/>
      <sz val="10"/>
      <name val="Arial"/>
      <family val="2"/>
    </font>
    <font>
      <b/>
      <sz val="11"/>
      <name val="Andalus"/>
      <family val="1"/>
    </font>
    <font>
      <b/>
      <sz val="11"/>
      <name val="Geneva"/>
      <charset val="134"/>
    </font>
    <font>
      <b/>
      <sz val="11"/>
      <color rgb="FFFF0000"/>
      <name val="Geneva"/>
      <charset val="134"/>
    </font>
    <font>
      <sz val="8.75"/>
      <name val="Geneva"/>
      <charset val="134"/>
    </font>
    <font>
      <sz val="11"/>
      <color theme="1"/>
      <name val="Bahnschrift"/>
      <family val="2"/>
    </font>
    <font>
      <sz val="11"/>
      <color rgb="FFFF0000"/>
      <name val="Bahnschrift"/>
      <family val="2"/>
    </font>
    <font>
      <sz val="11"/>
      <color theme="1"/>
      <name val="Arial Narrow"/>
      <family val="2"/>
    </font>
    <font>
      <b/>
      <sz val="11"/>
      <color rgb="FFFF0000"/>
      <name val="Arial Narrow"/>
      <family val="2"/>
    </font>
    <font>
      <b/>
      <sz val="11"/>
      <color indexed="8"/>
      <name val="Arial Narrow"/>
      <family val="2"/>
    </font>
    <font>
      <sz val="9"/>
      <name val="Arial Rounded MT Bold"/>
      <family val="2"/>
    </font>
    <font>
      <sz val="11"/>
      <color theme="1"/>
      <name val="Arial Rounded MT Bold"/>
      <family val="2"/>
    </font>
    <font>
      <sz val="12"/>
      <color theme="1"/>
      <name val="Bahnschrift"/>
      <family val="2"/>
    </font>
    <font>
      <b/>
      <sz val="14"/>
      <color theme="1"/>
      <name val="Calibri"/>
      <family val="2"/>
      <scheme val="minor"/>
    </font>
    <font>
      <b/>
      <sz val="16"/>
      <name val="Arial"/>
      <family val="2"/>
    </font>
    <font>
      <b/>
      <sz val="11"/>
      <name val="ITC Avant Garde Gothic LT"/>
    </font>
    <font>
      <b/>
      <sz val="12"/>
      <color theme="1"/>
      <name val="Bahnschrift"/>
      <family val="2"/>
    </font>
    <font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363FF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theme="5" tint="-0.249977111117893"/>
      </left>
      <right style="hair">
        <color theme="5" tint="-0.249977111117893"/>
      </right>
      <top style="hair">
        <color theme="5" tint="-0.249977111117893"/>
      </top>
      <bottom style="hair">
        <color theme="5" tint="-0.249977111117893"/>
      </bottom>
      <diagonal/>
    </border>
    <border>
      <left style="hair">
        <color theme="5" tint="-0.249977111117893"/>
      </left>
      <right style="hair">
        <color theme="5" tint="-0.249977111117893"/>
      </right>
      <top style="hair">
        <color theme="5" tint="-0.249977111117893"/>
      </top>
      <bottom style="double">
        <color theme="5" tint="-0.249977111117893"/>
      </bottom>
      <diagonal/>
    </border>
    <border>
      <left style="hair">
        <color theme="5" tint="-0.249977111117893"/>
      </left>
      <right style="hair">
        <color theme="5" tint="-0.249977111117893"/>
      </right>
      <top/>
      <bottom style="hair">
        <color theme="5" tint="-0.249977111117893"/>
      </bottom>
      <diagonal/>
    </border>
    <border>
      <left/>
      <right/>
      <top/>
      <bottom style="double">
        <color theme="5" tint="-0.249977111117893"/>
      </bottom>
      <diagonal/>
    </border>
    <border>
      <left style="hair">
        <color theme="5" tint="-0.249977111117893"/>
      </left>
      <right style="hair">
        <color theme="5" tint="-0.249977111117893"/>
      </right>
      <top/>
      <bottom style="double">
        <color theme="5" tint="-0.249977111117893"/>
      </bottom>
      <diagonal/>
    </border>
    <border>
      <left style="thin">
        <color indexed="64"/>
      </left>
      <right style="thin">
        <color indexed="64"/>
      </right>
      <top/>
      <bottom style="double">
        <color theme="5" tint="-0.249977111117893"/>
      </bottom>
      <diagonal/>
    </border>
    <border>
      <left style="hair">
        <color theme="5" tint="-0.249977111117893"/>
      </left>
      <right style="hair">
        <color theme="5" tint="-0.249977111117893"/>
      </right>
      <top style="hair">
        <color theme="5" tint="-0.24997711111789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5" tint="-0.249977111117893"/>
      </left>
      <right style="hair">
        <color theme="5" tint="-0.249977111117893"/>
      </right>
      <top/>
      <bottom/>
      <diagonal/>
    </border>
    <border>
      <left style="medium">
        <color indexed="64"/>
      </left>
      <right style="hair">
        <color theme="5" tint="-0.249977111117893"/>
      </right>
      <top style="medium">
        <color indexed="64"/>
      </top>
      <bottom style="hair">
        <color theme="5" tint="-0.249977111117893"/>
      </bottom>
      <diagonal/>
    </border>
    <border>
      <left style="hair">
        <color theme="5" tint="-0.249977111117893"/>
      </left>
      <right style="hair">
        <color theme="5" tint="-0.249977111117893"/>
      </right>
      <top style="medium">
        <color indexed="64"/>
      </top>
      <bottom style="hair">
        <color theme="5" tint="-0.249977111117893"/>
      </bottom>
      <diagonal/>
    </border>
    <border>
      <left style="hair">
        <color theme="5" tint="-0.249977111117893"/>
      </left>
      <right style="medium">
        <color indexed="64"/>
      </right>
      <top style="medium">
        <color indexed="64"/>
      </top>
      <bottom style="hair">
        <color theme="5" tint="-0.249977111117893"/>
      </bottom>
      <diagonal/>
    </border>
    <border>
      <left style="medium">
        <color indexed="64"/>
      </left>
      <right style="hair">
        <color theme="5" tint="-0.249977111117893"/>
      </right>
      <top style="hair">
        <color theme="5" tint="-0.249977111117893"/>
      </top>
      <bottom style="hair">
        <color theme="5" tint="-0.249977111117893"/>
      </bottom>
      <diagonal/>
    </border>
    <border>
      <left style="hair">
        <color theme="5" tint="-0.249977111117893"/>
      </left>
      <right style="medium">
        <color indexed="64"/>
      </right>
      <top style="hair">
        <color theme="5" tint="-0.249977111117893"/>
      </top>
      <bottom style="hair">
        <color theme="5" tint="-0.249977111117893"/>
      </bottom>
      <diagonal/>
    </border>
    <border>
      <left style="medium">
        <color indexed="64"/>
      </left>
      <right style="hair">
        <color theme="5" tint="-0.249977111117893"/>
      </right>
      <top style="hair">
        <color theme="5" tint="-0.249977111117893"/>
      </top>
      <bottom style="medium">
        <color indexed="64"/>
      </bottom>
      <diagonal/>
    </border>
    <border>
      <left style="hair">
        <color theme="5" tint="-0.249977111117893"/>
      </left>
      <right style="hair">
        <color theme="5" tint="-0.249977111117893"/>
      </right>
      <top style="hair">
        <color theme="5" tint="-0.249977111117893"/>
      </top>
      <bottom style="medium">
        <color indexed="64"/>
      </bottom>
      <diagonal/>
    </border>
    <border>
      <left style="hair">
        <color theme="5" tint="-0.249977111117893"/>
      </left>
      <right style="hair">
        <color theme="5" tint="-0.249977111117893"/>
      </right>
      <top/>
      <bottom style="medium">
        <color indexed="64"/>
      </bottom>
      <diagonal/>
    </border>
    <border>
      <left style="hair">
        <color theme="5" tint="-0.249977111117893"/>
      </left>
      <right style="medium">
        <color indexed="64"/>
      </right>
      <top style="hair">
        <color theme="5" tint="-0.249977111117893"/>
      </top>
      <bottom style="medium">
        <color indexed="64"/>
      </bottom>
      <diagonal/>
    </border>
    <border>
      <left style="medium">
        <color indexed="64"/>
      </left>
      <right style="hair">
        <color theme="5" tint="-0.249977111117893"/>
      </right>
      <top style="medium">
        <color indexed="64"/>
      </top>
      <bottom/>
      <diagonal/>
    </border>
    <border>
      <left style="hair">
        <color theme="5" tint="-0.249977111117893"/>
      </left>
      <right style="hair">
        <color theme="5" tint="-0.249977111117893"/>
      </right>
      <top style="medium">
        <color indexed="64"/>
      </top>
      <bottom/>
      <diagonal/>
    </border>
    <border>
      <left style="medium">
        <color indexed="64"/>
      </left>
      <right style="hair">
        <color theme="5" tint="-0.249977111117893"/>
      </right>
      <top/>
      <bottom/>
      <diagonal/>
    </border>
    <border>
      <left style="medium">
        <color indexed="64"/>
      </left>
      <right style="hair">
        <color theme="5" tint="-0.249977111117893"/>
      </right>
      <top/>
      <bottom style="medium">
        <color indexed="64"/>
      </bottom>
      <diagonal/>
    </border>
    <border>
      <left style="hair">
        <color theme="5" tint="-0.249977111117893"/>
      </left>
      <right style="medium">
        <color indexed="64"/>
      </right>
      <top style="hair">
        <color theme="5" tint="-0.249977111117893"/>
      </top>
      <bottom/>
      <diagonal/>
    </border>
    <border>
      <left style="hair">
        <color theme="5" tint="-0.249977111117893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5" tint="-0.249977111117893"/>
      </left>
      <right style="hair">
        <color theme="5" tint="-0.249977111117893"/>
      </right>
      <top style="medium">
        <color indexed="64"/>
      </top>
      <bottom style="medium">
        <color indexed="64"/>
      </bottom>
      <diagonal/>
    </border>
    <border>
      <left style="hair">
        <color theme="5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</cellStyleXfs>
  <cellXfs count="7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Continuous"/>
    </xf>
    <xf numFmtId="0" fontId="3" fillId="0" borderId="6" xfId="0" applyFont="1" applyBorder="1" applyAlignment="1">
      <alignment horizontal="centerContinuous"/>
    </xf>
    <xf numFmtId="0" fontId="0" fillId="0" borderId="7" xfId="0" applyBorder="1"/>
    <xf numFmtId="0" fontId="6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2" fillId="0" borderId="11" xfId="0" applyFont="1" applyBorder="1" applyAlignment="1">
      <alignment horizontal="centerContinuous"/>
    </xf>
    <xf numFmtId="0" fontId="3" fillId="0" borderId="0" xfId="0" applyFont="1" applyAlignment="1">
      <alignment horizontal="centerContinuous"/>
    </xf>
    <xf numFmtId="0" fontId="2" fillId="0" borderId="12" xfId="0" applyFont="1" applyBorder="1" applyAlignment="1">
      <alignment horizontal="centerContinuous"/>
    </xf>
    <xf numFmtId="0" fontId="3" fillId="2" borderId="0" xfId="0" applyFont="1" applyFill="1"/>
    <xf numFmtId="0" fontId="7" fillId="2" borderId="1" xfId="0" applyFont="1" applyFill="1" applyBorder="1"/>
    <xf numFmtId="0" fontId="0" fillId="2" borderId="0" xfId="0" applyFill="1" applyAlignment="1">
      <alignment horizontal="centerContinuous"/>
    </xf>
    <xf numFmtId="0" fontId="4" fillId="0" borderId="11" xfId="0" applyFont="1" applyBorder="1"/>
    <xf numFmtId="0" fontId="9" fillId="0" borderId="13" xfId="0" applyFont="1" applyBorder="1" applyAlignment="1">
      <alignment horizontal="centerContinuous"/>
    </xf>
    <xf numFmtId="0" fontId="3" fillId="0" borderId="14" xfId="0" applyFont="1" applyBorder="1" applyAlignment="1">
      <alignment horizontal="centerContinuous"/>
    </xf>
    <xf numFmtId="0" fontId="2" fillId="0" borderId="15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6" fillId="0" borderId="13" xfId="0" applyFont="1" applyBorder="1"/>
    <xf numFmtId="167" fontId="10" fillId="0" borderId="14" xfId="0" applyNumberFormat="1" applyFont="1" applyBorder="1" applyAlignment="1">
      <alignment horizontal="right"/>
    </xf>
    <xf numFmtId="167" fontId="10" fillId="0" borderId="15" xfId="0" applyNumberFormat="1" applyFont="1" applyBorder="1" applyAlignment="1">
      <alignment horizontal="center"/>
    </xf>
    <xf numFmtId="0" fontId="7" fillId="0" borderId="1" xfId="0" applyFont="1" applyBorder="1"/>
    <xf numFmtId="0" fontId="0" fillId="2" borderId="0" xfId="0" applyFill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3" xfId="0" applyFont="1" applyBorder="1"/>
    <xf numFmtId="0" fontId="11" fillId="0" borderId="5" xfId="0" applyFont="1" applyBorder="1" applyAlignment="1">
      <alignment horizontal="centerContinuous"/>
    </xf>
    <xf numFmtId="0" fontId="0" fillId="0" borderId="6" xfId="0" applyBorder="1" applyAlignment="1">
      <alignment horizontal="centerContinuous"/>
    </xf>
    <xf numFmtId="168" fontId="0" fillId="0" borderId="7" xfId="1" applyNumberFormat="1" applyFont="1" applyBorder="1" applyAlignment="1">
      <alignment horizontal="centerContinuous"/>
    </xf>
    <xf numFmtId="168" fontId="0" fillId="0" borderId="0" xfId="1" applyNumberFormat="1" applyFont="1"/>
    <xf numFmtId="0" fontId="0" fillId="0" borderId="11" xfId="0" applyBorder="1" applyAlignment="1">
      <alignment horizontal="left"/>
    </xf>
    <xf numFmtId="0" fontId="4" fillId="0" borderId="9" xfId="0" applyFont="1" applyBorder="1"/>
    <xf numFmtId="0" fontId="0" fillId="0" borderId="12" xfId="0" applyBorder="1"/>
    <xf numFmtId="0" fontId="12" fillId="2" borderId="0" xfId="0" applyFont="1" applyFill="1" applyAlignment="1">
      <alignment horizontal="centerContinuous"/>
    </xf>
    <xf numFmtId="0" fontId="11" fillId="0" borderId="13" xfId="0" applyFont="1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3" fillId="0" borderId="1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16" xfId="0" applyBorder="1"/>
    <xf numFmtId="49" fontId="13" fillId="0" borderId="17" xfId="0" applyNumberFormat="1" applyFont="1" applyBorder="1" applyAlignment="1">
      <alignment horizontal="centerContinuous"/>
    </xf>
    <xf numFmtId="0" fontId="4" fillId="0" borderId="18" xfId="0" applyFont="1" applyBorder="1" applyAlignment="1">
      <alignment horizontal="centerContinuous"/>
    </xf>
    <xf numFmtId="0" fontId="5" fillId="0" borderId="0" xfId="0" applyFont="1"/>
    <xf numFmtId="0" fontId="0" fillId="0" borderId="13" xfId="0" applyBorder="1"/>
    <xf numFmtId="169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6" fillId="0" borderId="16" xfId="0" applyFont="1" applyBorder="1" applyAlignment="1">
      <alignment horizontal="center"/>
    </xf>
    <xf numFmtId="169" fontId="0" fillId="0" borderId="0" xfId="0" applyNumberFormat="1"/>
    <xf numFmtId="0" fontId="0" fillId="0" borderId="16" xfId="0" applyBorder="1" applyAlignment="1">
      <alignment horizontal="center"/>
    </xf>
    <xf numFmtId="0" fontId="5" fillId="0" borderId="17" xfId="0" applyFont="1" applyBorder="1"/>
    <xf numFmtId="0" fontId="14" fillId="0" borderId="18" xfId="0" applyFont="1" applyBorder="1" applyAlignment="1">
      <alignment horizontal="centerContinuous"/>
    </xf>
    <xf numFmtId="0" fontId="14" fillId="0" borderId="0" xfId="0" applyFont="1"/>
    <xf numFmtId="4" fontId="0" fillId="0" borderId="0" xfId="0" applyNumberFormat="1"/>
    <xf numFmtId="0" fontId="16" fillId="0" borderId="20" xfId="0" applyFont="1" applyBorder="1" applyAlignment="1">
      <alignment vertical="top" wrapText="1"/>
    </xf>
    <xf numFmtId="0" fontId="15" fillId="0" borderId="17" xfId="0" applyFont="1" applyBorder="1" applyAlignment="1">
      <alignment horizontal="center" vertical="top" wrapText="1" readingOrder="1"/>
    </xf>
    <xf numFmtId="0" fontId="2" fillId="0" borderId="21" xfId="0" applyFont="1" applyBorder="1" applyAlignment="1">
      <alignment horizontal="center" wrapText="1"/>
    </xf>
    <xf numFmtId="0" fontId="17" fillId="0" borderId="20" xfId="0" applyFont="1" applyBorder="1" applyAlignment="1">
      <alignment vertical="top" wrapText="1"/>
    </xf>
    <xf numFmtId="0" fontId="17" fillId="0" borderId="18" xfId="0" applyFont="1" applyBorder="1" applyAlignment="1">
      <alignment horizontal="left" vertical="top" wrapText="1"/>
    </xf>
    <xf numFmtId="169" fontId="18" fillId="0" borderId="22" xfId="0" applyNumberFormat="1" applyFont="1" applyBorder="1"/>
    <xf numFmtId="0" fontId="19" fillId="0" borderId="20" xfId="0" applyFont="1" applyBorder="1" applyAlignment="1">
      <alignment wrapText="1"/>
    </xf>
    <xf numFmtId="169" fontId="13" fillId="0" borderId="23" xfId="0" applyNumberFormat="1" applyFont="1" applyBorder="1"/>
    <xf numFmtId="169" fontId="18" fillId="0" borderId="23" xfId="0" applyNumberFormat="1" applyFont="1" applyBorder="1"/>
    <xf numFmtId="169" fontId="13" fillId="0" borderId="24" xfId="0" applyNumberFormat="1" applyFont="1" applyBorder="1"/>
    <xf numFmtId="0" fontId="20" fillId="0" borderId="25" xfId="0" applyFont="1" applyBorder="1" applyAlignment="1">
      <alignment horizontal="center"/>
    </xf>
    <xf numFmtId="0" fontId="22" fillId="0" borderId="1" xfId="0" applyFont="1" applyBorder="1" applyAlignment="1">
      <alignment vertical="top" wrapText="1"/>
    </xf>
    <xf numFmtId="0" fontId="17" fillId="0" borderId="20" xfId="0" applyFont="1" applyBorder="1" applyAlignment="1">
      <alignment horizontal="left" vertical="top" wrapText="1"/>
    </xf>
    <xf numFmtId="1" fontId="22" fillId="0" borderId="17" xfId="0" applyNumberFormat="1" applyFont="1" applyBorder="1" applyAlignment="1">
      <alignment horizontal="center" vertical="top" shrinkToFit="1"/>
    </xf>
    <xf numFmtId="0" fontId="22" fillId="0" borderId="18" xfId="0" applyFont="1" applyBorder="1" applyAlignment="1">
      <alignment horizontal="center" vertical="top" wrapText="1"/>
    </xf>
    <xf numFmtId="0" fontId="22" fillId="0" borderId="18" xfId="0" applyFont="1" applyBorder="1" applyAlignment="1">
      <alignment vertical="top" wrapText="1"/>
    </xf>
    <xf numFmtId="0" fontId="19" fillId="0" borderId="26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5" fillId="0" borderId="17" xfId="0" applyFont="1" applyBorder="1" applyAlignment="1">
      <alignment horizontal="center" vertical="center" readingOrder="2"/>
    </xf>
    <xf numFmtId="0" fontId="17" fillId="0" borderId="17" xfId="0" applyFont="1" applyBorder="1" applyAlignment="1">
      <alignment vertical="top" wrapText="1"/>
    </xf>
    <xf numFmtId="0" fontId="19" fillId="0" borderId="0" xfId="0" applyFont="1" applyAlignment="1">
      <alignment wrapText="1"/>
    </xf>
    <xf numFmtId="0" fontId="19" fillId="0" borderId="17" xfId="0" applyFont="1" applyBorder="1" applyAlignment="1">
      <alignment wrapText="1"/>
    </xf>
    <xf numFmtId="0" fontId="19" fillId="0" borderId="18" xfId="0" applyFont="1" applyBorder="1" applyAlignment="1">
      <alignment wrapText="1"/>
    </xf>
    <xf numFmtId="0" fontId="17" fillId="0" borderId="19" xfId="0" applyFont="1" applyBorder="1" applyAlignment="1">
      <alignment vertical="top" wrapText="1" readingOrder="2"/>
    </xf>
    <xf numFmtId="0" fontId="17" fillId="0" borderId="18" xfId="0" applyFont="1" applyBorder="1" applyAlignment="1">
      <alignment vertical="top" wrapText="1"/>
    </xf>
    <xf numFmtId="0" fontId="17" fillId="0" borderId="19" xfId="0" applyFont="1" applyBorder="1" applyAlignment="1">
      <alignment vertical="top" wrapText="1"/>
    </xf>
    <xf numFmtId="0" fontId="8" fillId="0" borderId="18" xfId="0" applyFont="1" applyBorder="1" applyAlignment="1">
      <alignment horizontal="center" vertical="top" wrapText="1"/>
    </xf>
    <xf numFmtId="1" fontId="22" fillId="0" borderId="0" xfId="0" applyNumberFormat="1" applyFont="1" applyAlignment="1">
      <alignment horizontal="center" vertical="top" shrinkToFit="1"/>
    </xf>
    <xf numFmtId="0" fontId="15" fillId="0" borderId="27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7" fillId="0" borderId="32" xfId="0" applyFont="1" applyBorder="1" applyAlignment="1">
      <alignment horizontal="left"/>
    </xf>
    <xf numFmtId="0" fontId="0" fillId="0" borderId="32" xfId="0" applyBorder="1"/>
    <xf numFmtId="0" fontId="0" fillId="0" borderId="33" xfId="0" applyBorder="1"/>
    <xf numFmtId="169" fontId="26" fillId="0" borderId="34" xfId="0" applyNumberFormat="1" applyFont="1" applyBorder="1"/>
    <xf numFmtId="9" fontId="3" fillId="0" borderId="34" xfId="0" applyNumberFormat="1" applyFont="1" applyBorder="1" applyAlignment="1">
      <alignment horizontal="center"/>
    </xf>
    <xf numFmtId="0" fontId="7" fillId="0" borderId="35" xfId="0" applyFont="1" applyBorder="1" applyAlignment="1">
      <alignment horizontal="left"/>
    </xf>
    <xf numFmtId="0" fontId="0" fillId="0" borderId="35" xfId="0" applyBorder="1"/>
    <xf numFmtId="0" fontId="0" fillId="0" borderId="9" xfId="0" applyBorder="1"/>
    <xf numFmtId="0" fontId="0" fillId="0" borderId="36" xfId="0" applyBorder="1"/>
    <xf numFmtId="169" fontId="27" fillId="0" borderId="34" xfId="0" applyNumberFormat="1" applyFont="1" applyBorder="1"/>
    <xf numFmtId="9" fontId="0" fillId="0" borderId="37" xfId="0" applyNumberFormat="1" applyBorder="1" applyAlignment="1">
      <alignment horizontal="center"/>
    </xf>
    <xf numFmtId="0" fontId="10" fillId="0" borderId="11" xfId="0" applyFont="1" applyBorder="1"/>
    <xf numFmtId="0" fontId="4" fillId="0" borderId="0" xfId="0" applyFont="1"/>
    <xf numFmtId="0" fontId="0" fillId="0" borderId="38" xfId="0" applyBorder="1"/>
    <xf numFmtId="0" fontId="0" fillId="0" borderId="39" xfId="0" applyBorder="1"/>
    <xf numFmtId="0" fontId="0" fillId="0" borderId="40" xfId="0" applyBorder="1" applyAlignment="1">
      <alignment horizontal="left" indent="1"/>
    </xf>
    <xf numFmtId="0" fontId="3" fillId="0" borderId="14" xfId="0" applyFont="1" applyBorder="1" applyAlignment="1">
      <alignment horizontal="left"/>
    </xf>
    <xf numFmtId="0" fontId="0" fillId="0" borderId="14" xfId="0" quotePrefix="1" applyBorder="1"/>
    <xf numFmtId="0" fontId="2" fillId="0" borderId="14" xfId="0" applyFont="1" applyBorder="1" applyAlignment="1">
      <alignment horizontal="center"/>
    </xf>
    <xf numFmtId="169" fontId="26" fillId="0" borderId="41" xfId="0" applyNumberFormat="1" applyFont="1" applyBorder="1"/>
    <xf numFmtId="0" fontId="0" fillId="0" borderId="41" xfId="0" applyBorder="1" applyAlignment="1">
      <alignment horizontal="center"/>
    </xf>
    <xf numFmtId="169" fontId="18" fillId="0" borderId="42" xfId="0" applyNumberFormat="1" applyFont="1" applyBorder="1"/>
    <xf numFmtId="0" fontId="27" fillId="0" borderId="0" xfId="0" applyFont="1" applyAlignment="1">
      <alignment horizontal="left" vertical="top"/>
    </xf>
    <xf numFmtId="0" fontId="28" fillId="0" borderId="0" xfId="0" applyFont="1"/>
    <xf numFmtId="9" fontId="23" fillId="0" borderId="0" xfId="2" applyFont="1" applyBorder="1"/>
    <xf numFmtId="9" fontId="29" fillId="0" borderId="0" xfId="2" applyFont="1" applyFill="1" applyBorder="1" applyAlignment="1">
      <alignment horizontal="left" vertical="top"/>
    </xf>
    <xf numFmtId="4" fontId="28" fillId="0" borderId="0" xfId="0" applyNumberFormat="1" applyFont="1"/>
    <xf numFmtId="0" fontId="6" fillId="0" borderId="43" xfId="0" applyFont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6" fillId="0" borderId="4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46" xfId="0" applyFont="1" applyBorder="1"/>
    <xf numFmtId="0" fontId="11" fillId="0" borderId="27" xfId="0" applyFont="1" applyBorder="1" applyAlignment="1">
      <alignment horizontal="center"/>
    </xf>
    <xf numFmtId="0" fontId="6" fillId="0" borderId="29" xfId="0" applyFont="1" applyBorder="1" applyAlignment="1">
      <alignment wrapText="1"/>
    </xf>
    <xf numFmtId="0" fontId="11" fillId="0" borderId="48" xfId="0" applyFont="1" applyBorder="1" applyAlignment="1">
      <alignment wrapText="1"/>
    </xf>
    <xf numFmtId="0" fontId="6" fillId="0" borderId="5" xfId="0" applyFont="1" applyBorder="1" applyAlignment="1">
      <alignment horizontal="center"/>
    </xf>
    <xf numFmtId="0" fontId="30" fillId="0" borderId="49" xfId="0" applyFont="1" applyBorder="1" applyAlignment="1">
      <alignment vertical="center"/>
    </xf>
    <xf numFmtId="169" fontId="27" fillId="0" borderId="50" xfId="0" applyNumberFormat="1" applyFont="1" applyBorder="1"/>
    <xf numFmtId="168" fontId="27" fillId="0" borderId="51" xfId="1" applyNumberFormat="1" applyFont="1" applyBorder="1" applyAlignment="1"/>
    <xf numFmtId="9" fontId="6" fillId="0" borderId="51" xfId="2" applyFont="1" applyBorder="1" applyAlignment="1">
      <alignment vertical="center"/>
    </xf>
    <xf numFmtId="169" fontId="27" fillId="0" borderId="52" xfId="0" applyNumberFormat="1" applyFont="1" applyBorder="1"/>
    <xf numFmtId="0" fontId="6" fillId="0" borderId="11" xfId="0" applyFont="1" applyBorder="1"/>
    <xf numFmtId="0" fontId="23" fillId="0" borderId="47" xfId="0" applyFont="1" applyBorder="1" applyAlignment="1">
      <alignment wrapText="1"/>
    </xf>
    <xf numFmtId="169" fontId="27" fillId="0" borderId="36" xfId="0" applyNumberFormat="1" applyFont="1" applyBorder="1"/>
    <xf numFmtId="9" fontId="23" fillId="0" borderId="0" xfId="2" applyFont="1" applyBorder="1" applyAlignment="1">
      <alignment horizontal="center" vertical="center"/>
    </xf>
    <xf numFmtId="169" fontId="27" fillId="0" borderId="22" xfId="0" applyNumberFormat="1" applyFont="1" applyBorder="1"/>
    <xf numFmtId="0" fontId="4" fillId="0" borderId="11" xfId="0" applyFont="1" applyBorder="1" applyAlignment="1">
      <alignment horizontal="center"/>
    </xf>
    <xf numFmtId="0" fontId="25" fillId="0" borderId="47" xfId="0" applyFont="1" applyBorder="1"/>
    <xf numFmtId="170" fontId="23" fillId="0" borderId="36" xfId="2" applyNumberFormat="1" applyFont="1" applyBorder="1" applyAlignment="1">
      <alignment horizontal="center" vertical="center"/>
    </xf>
    <xf numFmtId="0" fontId="3" fillId="0" borderId="31" xfId="0" applyFont="1" applyBorder="1"/>
    <xf numFmtId="169" fontId="26" fillId="0" borderId="36" xfId="0" applyNumberFormat="1" applyFont="1" applyBorder="1"/>
    <xf numFmtId="170" fontId="23" fillId="0" borderId="0" xfId="2" applyNumberFormat="1" applyFont="1" applyBorder="1" applyAlignment="1">
      <alignment horizontal="center" vertical="center"/>
    </xf>
    <xf numFmtId="43" fontId="27" fillId="0" borderId="0" xfId="1" applyFont="1" applyFill="1" applyBorder="1" applyAlignment="1">
      <alignment horizontal="left" vertical="top"/>
    </xf>
    <xf numFmtId="169" fontId="26" fillId="0" borderId="36" xfId="0" applyNumberFormat="1" applyFont="1" applyBorder="1" applyAlignment="1">
      <alignment vertical="center"/>
    </xf>
    <xf numFmtId="9" fontId="23" fillId="0" borderId="36" xfId="2" applyFont="1" applyBorder="1" applyAlignment="1">
      <alignment horizontal="center" vertical="center"/>
    </xf>
    <xf numFmtId="169" fontId="27" fillId="0" borderId="22" xfId="0" applyNumberFormat="1" applyFont="1" applyBorder="1" applyAlignment="1">
      <alignment horizontal="center" vertical="center"/>
    </xf>
    <xf numFmtId="0" fontId="30" fillId="0" borderId="47" xfId="0" applyFont="1" applyBorder="1"/>
    <xf numFmtId="169" fontId="27" fillId="0" borderId="30" xfId="0" applyNumberFormat="1" applyFont="1" applyBorder="1"/>
    <xf numFmtId="169" fontId="27" fillId="0" borderId="53" xfId="0" applyNumberFormat="1" applyFont="1" applyBorder="1"/>
    <xf numFmtId="0" fontId="31" fillId="0" borderId="31" xfId="0" applyFont="1" applyBorder="1"/>
    <xf numFmtId="169" fontId="32" fillId="0" borderId="34" xfId="0" applyNumberFormat="1" applyFont="1" applyBorder="1"/>
    <xf numFmtId="169" fontId="33" fillId="0" borderId="36" xfId="0" applyNumberFormat="1" applyFont="1" applyBorder="1"/>
    <xf numFmtId="169" fontId="33" fillId="0" borderId="53" xfId="0" applyNumberFormat="1" applyFont="1" applyBorder="1"/>
    <xf numFmtId="0" fontId="4" fillId="0" borderId="13" xfId="0" applyFont="1" applyBorder="1" applyAlignment="1">
      <alignment horizontal="center"/>
    </xf>
    <xf numFmtId="0" fontId="34" fillId="0" borderId="27" xfId="0" applyFont="1" applyBorder="1"/>
    <xf numFmtId="169" fontId="27" fillId="0" borderId="29" xfId="0" applyNumberFormat="1" applyFont="1" applyBorder="1"/>
    <xf numFmtId="169" fontId="27" fillId="0" borderId="28" xfId="0" applyNumberFormat="1" applyFont="1" applyBorder="1"/>
    <xf numFmtId="9" fontId="23" fillId="0" borderId="54" xfId="2" applyFont="1" applyBorder="1" applyAlignment="1">
      <alignment horizontal="center" vertical="center"/>
    </xf>
    <xf numFmtId="169" fontId="27" fillId="0" borderId="55" xfId="0" applyNumberFormat="1" applyFont="1" applyBorder="1"/>
    <xf numFmtId="0" fontId="11" fillId="0" borderId="11" xfId="0" applyFont="1" applyBorder="1"/>
    <xf numFmtId="0" fontId="11" fillId="2" borderId="0" xfId="0" applyFont="1" applyFill="1"/>
    <xf numFmtId="0" fontId="11" fillId="0" borderId="0" xfId="0" applyFont="1"/>
    <xf numFmtId="0" fontId="6" fillId="0" borderId="0" xfId="0" applyFont="1"/>
    <xf numFmtId="0" fontId="11" fillId="0" borderId="12" xfId="0" applyFont="1" applyBorder="1"/>
    <xf numFmtId="0" fontId="4" fillId="0" borderId="56" xfId="0" applyFont="1" applyBorder="1" applyAlignment="1">
      <alignment horizontal="center"/>
    </xf>
    <xf numFmtId="0" fontId="30" fillId="0" borderId="57" xfId="0" applyFont="1" applyBorder="1" applyAlignment="1">
      <alignment vertical="center"/>
    </xf>
    <xf numFmtId="169" fontId="27" fillId="0" borderId="51" xfId="0" applyNumberFormat="1" applyFont="1" applyBorder="1"/>
    <xf numFmtId="170" fontId="23" fillId="0" borderId="57" xfId="2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/>
    </xf>
    <xf numFmtId="0" fontId="25" fillId="0" borderId="0" xfId="0" applyFont="1" applyAlignment="1">
      <alignment wrapText="1"/>
    </xf>
    <xf numFmtId="169" fontId="27" fillId="0" borderId="33" xfId="0" applyNumberFormat="1" applyFont="1" applyBorder="1"/>
    <xf numFmtId="0" fontId="3" fillId="0" borderId="31" xfId="0" applyFont="1" applyBorder="1" applyAlignment="1">
      <alignment wrapText="1"/>
    </xf>
    <xf numFmtId="0" fontId="25" fillId="0" borderId="0" xfId="0" applyFont="1" applyAlignment="1">
      <alignment vertical="top" wrapText="1"/>
    </xf>
    <xf numFmtId="170" fontId="19" fillId="0" borderId="0" xfId="2" applyNumberFormat="1" applyFont="1" applyBorder="1" applyAlignment="1">
      <alignment horizontal="center" vertical="center"/>
    </xf>
    <xf numFmtId="0" fontId="6" fillId="0" borderId="58" xfId="0" applyFont="1" applyBorder="1"/>
    <xf numFmtId="9" fontId="6" fillId="0" borderId="36" xfId="2" applyFont="1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14" fillId="0" borderId="60" xfId="0" applyFont="1" applyBorder="1" applyAlignment="1">
      <alignment horizontal="left" vertical="center"/>
    </xf>
    <xf numFmtId="0" fontId="10" fillId="0" borderId="14" xfId="0" applyFont="1" applyBorder="1"/>
    <xf numFmtId="169" fontId="13" fillId="0" borderId="61" xfId="0" applyNumberFormat="1" applyFont="1" applyBorder="1" applyAlignment="1">
      <alignment horizontal="center"/>
    </xf>
    <xf numFmtId="169" fontId="13" fillId="0" borderId="62" xfId="0" applyNumberFormat="1" applyFont="1" applyBorder="1" applyAlignment="1">
      <alignment horizontal="center"/>
    </xf>
    <xf numFmtId="9" fontId="35" fillId="0" borderId="14" xfId="2" applyFont="1" applyBorder="1" applyAlignment="1">
      <alignment horizontal="center"/>
    </xf>
    <xf numFmtId="169" fontId="13" fillId="0" borderId="63" xfId="0" applyNumberFormat="1" applyFont="1" applyBorder="1"/>
    <xf numFmtId="49" fontId="5" fillId="0" borderId="0" xfId="0" applyNumberFormat="1" applyFont="1"/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4" fontId="5" fillId="0" borderId="0" xfId="0" applyNumberFormat="1" applyFont="1"/>
    <xf numFmtId="0" fontId="0" fillId="0" borderId="5" xfId="0" applyBorder="1" applyAlignment="1">
      <alignment vertical="center"/>
    </xf>
    <xf numFmtId="0" fontId="0" fillId="0" borderId="64" xfId="0" applyBorder="1" applyAlignment="1">
      <alignment vertical="center"/>
    </xf>
    <xf numFmtId="0" fontId="6" fillId="0" borderId="6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4" xfId="0" applyFont="1" applyBorder="1" applyAlignment="1">
      <alignment vertical="center"/>
    </xf>
    <xf numFmtId="0" fontId="6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6" fillId="0" borderId="31" xfId="0" applyFont="1" applyBorder="1" applyAlignment="1">
      <alignment horizontal="center" vertical="center"/>
    </xf>
    <xf numFmtId="167" fontId="6" fillId="0" borderId="32" xfId="0" applyNumberFormat="1" applyFont="1" applyBorder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/>
    </xf>
    <xf numFmtId="169" fontId="0" fillId="0" borderId="37" xfId="0" applyNumberFormat="1" applyBorder="1" applyAlignment="1">
      <alignment vertical="center"/>
    </xf>
    <xf numFmtId="9" fontId="6" fillId="0" borderId="37" xfId="2" applyFont="1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170" fontId="0" fillId="0" borderId="0" xfId="2" applyNumberFormat="1" applyFont="1"/>
    <xf numFmtId="0" fontId="10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9" fontId="6" fillId="0" borderId="69" xfId="2" applyFont="1" applyBorder="1" applyAlignment="1">
      <alignment vertical="center"/>
    </xf>
    <xf numFmtId="0" fontId="0" fillId="0" borderId="70" xfId="0" applyBorder="1" applyAlignment="1">
      <alignment vertical="center"/>
    </xf>
    <xf numFmtId="0" fontId="20" fillId="0" borderId="25" xfId="0" applyFont="1" applyBorder="1" applyAlignment="1">
      <alignment horizontal="center" vertical="center"/>
    </xf>
    <xf numFmtId="0" fontId="0" fillId="0" borderId="62" xfId="0" applyBorder="1" applyAlignment="1">
      <alignment vertical="center"/>
    </xf>
    <xf numFmtId="0" fontId="6" fillId="0" borderId="40" xfId="0" applyFont="1" applyBorder="1" applyAlignment="1">
      <alignment horizontal="center" vertical="center"/>
    </xf>
    <xf numFmtId="0" fontId="3" fillId="0" borderId="71" xfId="0" applyFont="1" applyBorder="1" applyAlignment="1">
      <alignment horizontal="left" vertical="center"/>
    </xf>
    <xf numFmtId="0" fontId="0" fillId="0" borderId="72" xfId="0" applyBorder="1" applyAlignment="1">
      <alignment horizontal="left" vertical="center"/>
    </xf>
    <xf numFmtId="168" fontId="6" fillId="0" borderId="72" xfId="1" applyNumberFormat="1" applyFont="1" applyBorder="1" applyAlignment="1">
      <alignment horizontal="left" vertical="center"/>
    </xf>
    <xf numFmtId="168" fontId="3" fillId="0" borderId="73" xfId="1" applyNumberFormat="1" applyFont="1" applyBorder="1" applyAlignment="1">
      <alignment horizontal="left" vertical="center"/>
    </xf>
    <xf numFmtId="169" fontId="0" fillId="0" borderId="41" xfId="0" applyNumberFormat="1" applyBorder="1" applyAlignment="1">
      <alignment vertical="center"/>
    </xf>
    <xf numFmtId="9" fontId="6" fillId="0" borderId="20" xfId="2" applyFont="1" applyBorder="1" applyAlignment="1">
      <alignment vertical="center"/>
    </xf>
    <xf numFmtId="0" fontId="20" fillId="0" borderId="5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6" fillId="0" borderId="74" xfId="0" applyFont="1" applyBorder="1" applyAlignment="1">
      <alignment vertical="center"/>
    </xf>
    <xf numFmtId="0" fontId="6" fillId="0" borderId="75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9" fontId="6" fillId="0" borderId="37" xfId="0" applyNumberFormat="1" applyFont="1" applyBorder="1" applyAlignment="1">
      <alignment vertical="center"/>
    </xf>
    <xf numFmtId="9" fontId="6" fillId="0" borderId="37" xfId="0" applyNumberFormat="1" applyFont="1" applyBorder="1" applyAlignment="1">
      <alignment vertical="center"/>
    </xf>
    <xf numFmtId="169" fontId="0" fillId="0" borderId="76" xfId="0" applyNumberFormat="1" applyBorder="1" applyAlignment="1">
      <alignment vertical="center"/>
    </xf>
    <xf numFmtId="0" fontId="0" fillId="0" borderId="77" xfId="0" applyBorder="1" applyAlignment="1">
      <alignment vertical="center"/>
    </xf>
    <xf numFmtId="0" fontId="0" fillId="0" borderId="78" xfId="0" applyBorder="1" applyAlignment="1">
      <alignment vertical="center"/>
    </xf>
    <xf numFmtId="0" fontId="0" fillId="0" borderId="14" xfId="0" applyBorder="1" applyAlignment="1">
      <alignment vertical="center"/>
    </xf>
    <xf numFmtId="0" fontId="6" fillId="0" borderId="71" xfId="0" applyFont="1" applyBorder="1" applyAlignment="1">
      <alignment horizontal="left" vertical="center"/>
    </xf>
    <xf numFmtId="0" fontId="6" fillId="0" borderId="72" xfId="0" applyFont="1" applyBorder="1" applyAlignment="1">
      <alignment vertical="center"/>
    </xf>
    <xf numFmtId="0" fontId="20" fillId="0" borderId="60" xfId="0" applyFont="1" applyBorder="1" applyAlignment="1">
      <alignment horizontal="center" vertical="center"/>
    </xf>
    <xf numFmtId="0" fontId="0" fillId="0" borderId="79" xfId="0" applyBorder="1" applyAlignment="1">
      <alignment vertical="center"/>
    </xf>
    <xf numFmtId="0" fontId="0" fillId="0" borderId="80" xfId="0" applyBorder="1" applyAlignment="1">
      <alignment vertical="center"/>
    </xf>
    <xf numFmtId="0" fontId="0" fillId="0" borderId="81" xfId="0" applyBorder="1" applyAlignment="1">
      <alignment vertical="center"/>
    </xf>
    <xf numFmtId="0" fontId="3" fillId="0" borderId="7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69" fontId="11" fillId="0" borderId="6" xfId="0" applyNumberFormat="1" applyFont="1" applyBorder="1" applyAlignment="1">
      <alignment vertical="center"/>
    </xf>
    <xf numFmtId="0" fontId="38" fillId="0" borderId="5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0" fontId="39" fillId="0" borderId="76" xfId="0" applyFont="1" applyBorder="1" applyAlignment="1">
      <alignment vertical="center"/>
    </xf>
    <xf numFmtId="169" fontId="26" fillId="0" borderId="16" xfId="0" applyNumberFormat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39" fillId="0" borderId="10" xfId="0" applyFont="1" applyBorder="1" applyAlignment="1">
      <alignment vertical="center"/>
    </xf>
    <xf numFmtId="169" fontId="26" fillId="0" borderId="9" xfId="0" applyNumberFormat="1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0" fontId="22" fillId="0" borderId="12" xfId="0" applyFont="1" applyBorder="1"/>
    <xf numFmtId="0" fontId="6" fillId="0" borderId="76" xfId="0" applyFont="1" applyBorder="1" applyAlignment="1">
      <alignment horizontal="left" vertical="center"/>
    </xf>
    <xf numFmtId="14" fontId="6" fillId="0" borderId="76" xfId="0" applyNumberFormat="1" applyFont="1" applyBorder="1" applyAlignment="1">
      <alignment horizontal="center" vertical="center"/>
    </xf>
    <xf numFmtId="0" fontId="41" fillId="0" borderId="0" xfId="0" applyFont="1"/>
    <xf numFmtId="0" fontId="0" fillId="0" borderId="11" xfId="0" applyBorder="1"/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9" fillId="0" borderId="82" xfId="0" applyFont="1" applyBorder="1" applyAlignment="1">
      <alignment vertical="center"/>
    </xf>
    <xf numFmtId="0" fontId="22" fillId="0" borderId="12" xfId="0" applyFont="1" applyBorder="1" applyAlignment="1">
      <alignment horizontal="right" vertical="center"/>
    </xf>
    <xf numFmtId="0" fontId="29" fillId="0" borderId="12" xfId="0" applyFont="1" applyBorder="1" applyAlignment="1">
      <alignment vertical="center"/>
    </xf>
    <xf numFmtId="169" fontId="18" fillId="0" borderId="14" xfId="0" applyNumberFormat="1" applyFont="1" applyBorder="1" applyAlignment="1">
      <alignment vertical="center"/>
    </xf>
    <xf numFmtId="0" fontId="39" fillId="0" borderId="11" xfId="0" applyFont="1" applyBorder="1" applyAlignment="1">
      <alignment vertical="center"/>
    </xf>
    <xf numFmtId="0" fontId="7" fillId="0" borderId="0" xfId="0" applyFont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169" fontId="42" fillId="0" borderId="14" xfId="0" applyNumberFormat="1" applyFont="1" applyBorder="1"/>
    <xf numFmtId="0" fontId="22" fillId="0" borderId="13" xfId="0" applyFont="1" applyBorder="1"/>
    <xf numFmtId="0" fontId="22" fillId="0" borderId="15" xfId="0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5" fillId="0" borderId="0" xfId="0" applyNumberFormat="1" applyFont="1"/>
    <xf numFmtId="166" fontId="5" fillId="0" borderId="0" xfId="0" applyNumberFormat="1" applyFont="1" applyAlignment="1">
      <alignment horizontal="center"/>
    </xf>
    <xf numFmtId="0" fontId="6" fillId="0" borderId="44" xfId="0" applyFont="1" applyBorder="1"/>
    <xf numFmtId="0" fontId="11" fillId="0" borderId="44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6" fillId="0" borderId="70" xfId="0" applyFont="1" applyBorder="1"/>
    <xf numFmtId="0" fontId="11" fillId="0" borderId="29" xfId="0" applyFont="1" applyBorder="1" applyAlignment="1">
      <alignment horizontal="center"/>
    </xf>
    <xf numFmtId="16" fontId="5" fillId="0" borderId="29" xfId="0" applyNumberFormat="1" applyFont="1" applyBorder="1"/>
    <xf numFmtId="169" fontId="26" fillId="0" borderId="32" xfId="0" applyNumberFormat="1" applyFont="1" applyBorder="1"/>
    <xf numFmtId="9" fontId="26" fillId="0" borderId="32" xfId="0" applyNumberFormat="1" applyFont="1" applyBorder="1"/>
    <xf numFmtId="9" fontId="26" fillId="0" borderId="32" xfId="0" applyNumberFormat="1" applyFont="1" applyBorder="1" applyAlignment="1">
      <alignment horizontal="center"/>
    </xf>
    <xf numFmtId="0" fontId="26" fillId="0" borderId="35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3" fillId="0" borderId="40" xfId="0" applyFont="1" applyBorder="1"/>
    <xf numFmtId="169" fontId="26" fillId="0" borderId="61" xfId="0" applyNumberFormat="1" applyFont="1" applyBorder="1"/>
    <xf numFmtId="169" fontId="26" fillId="0" borderId="14" xfId="0" applyNumberFormat="1" applyFont="1" applyBorder="1"/>
    <xf numFmtId="169" fontId="26" fillId="0" borderId="71" xfId="0" applyNumberFormat="1" applyFont="1" applyBorder="1"/>
    <xf numFmtId="169" fontId="26" fillId="0" borderId="72" xfId="0" applyNumberFormat="1" applyFont="1" applyBorder="1"/>
    <xf numFmtId="169" fontId="26" fillId="0" borderId="73" xfId="0" applyNumberFormat="1" applyFont="1" applyBorder="1"/>
    <xf numFmtId="0" fontId="26" fillId="0" borderId="71" xfId="0" applyFont="1" applyBorder="1" applyAlignment="1">
      <alignment horizontal="center"/>
    </xf>
    <xf numFmtId="169" fontId="26" fillId="0" borderId="85" xfId="0" applyNumberFormat="1" applyFont="1" applyBorder="1"/>
    <xf numFmtId="169" fontId="26" fillId="0" borderId="47" xfId="0" applyNumberFormat="1" applyFont="1" applyBorder="1"/>
    <xf numFmtId="169" fontId="26" fillId="0" borderId="0" xfId="0" applyNumberFormat="1" applyFont="1"/>
    <xf numFmtId="169" fontId="26" fillId="0" borderId="30" xfId="0" applyNumberFormat="1" applyFont="1" applyBorder="1"/>
    <xf numFmtId="0" fontId="26" fillId="0" borderId="47" xfId="0" applyFont="1" applyBorder="1" applyAlignment="1">
      <alignment horizontal="center"/>
    </xf>
    <xf numFmtId="169" fontId="26" fillId="0" borderId="12" xfId="0" applyNumberFormat="1" applyFont="1" applyBorder="1"/>
    <xf numFmtId="43" fontId="0" fillId="0" borderId="0" xfId="1" applyFont="1"/>
    <xf numFmtId="9" fontId="26" fillId="0" borderId="35" xfId="0" applyNumberFormat="1" applyFont="1" applyBorder="1" applyAlignment="1">
      <alignment horizontal="center"/>
    </xf>
    <xf numFmtId="0" fontId="5" fillId="0" borderId="86" xfId="0" applyFont="1" applyBorder="1"/>
    <xf numFmtId="0" fontId="6" fillId="0" borderId="77" xfId="0" applyFont="1" applyBorder="1"/>
    <xf numFmtId="0" fontId="44" fillId="0" borderId="0" xfId="0" applyFont="1"/>
    <xf numFmtId="0" fontId="0" fillId="0" borderId="74" xfId="0" applyBorder="1"/>
    <xf numFmtId="0" fontId="0" fillId="0" borderId="75" xfId="0" applyBorder="1"/>
    <xf numFmtId="0" fontId="0" fillId="0" borderId="21" xfId="0" applyBorder="1" applyAlignment="1">
      <alignment horizontal="center"/>
    </xf>
    <xf numFmtId="0" fontId="4" fillId="0" borderId="77" xfId="0" applyFont="1" applyBorder="1" applyAlignment="1">
      <alignment horizontal="center"/>
    </xf>
    <xf numFmtId="169" fontId="26" fillId="0" borderId="22" xfId="0" applyNumberFormat="1" applyFont="1" applyBorder="1"/>
    <xf numFmtId="0" fontId="6" fillId="0" borderId="46" xfId="0" applyFont="1" applyBorder="1" applyAlignment="1">
      <alignment horizontal="center"/>
    </xf>
    <xf numFmtId="169" fontId="26" fillId="0" borderId="23" xfId="0" applyNumberFormat="1" applyFont="1" applyBorder="1"/>
    <xf numFmtId="169" fontId="26" fillId="0" borderId="22" xfId="0" applyNumberFormat="1" applyFont="1" applyBorder="1" applyAlignment="1">
      <alignment horizontal="left"/>
    </xf>
    <xf numFmtId="169" fontId="26" fillId="0" borderId="53" xfId="0" applyNumberFormat="1" applyFont="1" applyBorder="1"/>
    <xf numFmtId="0" fontId="6" fillId="0" borderId="77" xfId="0" applyFont="1" applyBorder="1" applyAlignment="1">
      <alignment horizontal="center"/>
    </xf>
    <xf numFmtId="0" fontId="4" fillId="0" borderId="57" xfId="0" applyFont="1" applyBorder="1" applyAlignment="1">
      <alignment horizontal="left"/>
    </xf>
    <xf numFmtId="0" fontId="3" fillId="0" borderId="94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0" fontId="3" fillId="0" borderId="30" xfId="0" applyFont="1" applyBorder="1" applyAlignment="1">
      <alignment horizontal="left"/>
    </xf>
    <xf numFmtId="3" fontId="27" fillId="0" borderId="53" xfId="0" applyNumberFormat="1" applyFont="1" applyBorder="1"/>
    <xf numFmtId="0" fontId="0" fillId="0" borderId="60" xfId="0" applyBorder="1"/>
    <xf numFmtId="0" fontId="3" fillId="0" borderId="62" xfId="0" applyFont="1" applyBorder="1" applyAlignment="1">
      <alignment horizontal="left"/>
    </xf>
    <xf numFmtId="3" fontId="4" fillId="0" borderId="63" xfId="0" applyNumberFormat="1" applyFont="1" applyBorder="1"/>
    <xf numFmtId="3" fontId="46" fillId="0" borderId="20" xfId="0" applyNumberFormat="1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 wrapText="1"/>
    </xf>
    <xf numFmtId="0" fontId="47" fillId="0" borderId="18" xfId="0" applyFont="1" applyBorder="1" applyAlignment="1">
      <alignment horizontal="left" vertical="top" wrapText="1"/>
    </xf>
    <xf numFmtId="3" fontId="48" fillId="2" borderId="20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indent="9"/>
    </xf>
    <xf numFmtId="0" fontId="0" fillId="0" borderId="12" xfId="0" applyBorder="1" applyAlignment="1">
      <alignment horizontal="right"/>
    </xf>
    <xf numFmtId="0" fontId="49" fillId="4" borderId="18" xfId="0" applyFont="1" applyFill="1" applyBorder="1" applyAlignment="1">
      <alignment vertical="top" wrapText="1"/>
    </xf>
    <xf numFmtId="169" fontId="50" fillId="4" borderId="0" xfId="0" applyNumberFormat="1" applyFont="1" applyFill="1"/>
    <xf numFmtId="169" fontId="18" fillId="5" borderId="41" xfId="0" applyNumberFormat="1" applyFont="1" applyFill="1" applyBorder="1"/>
    <xf numFmtId="0" fontId="26" fillId="5" borderId="87" xfId="0" applyFont="1" applyFill="1" applyBorder="1"/>
    <xf numFmtId="0" fontId="11" fillId="2" borderId="16" xfId="0" applyFont="1" applyFill="1" applyBorder="1"/>
    <xf numFmtId="0" fontId="51" fillId="2" borderId="12" xfId="0" applyFont="1" applyFill="1" applyBorder="1"/>
    <xf numFmtId="0" fontId="51" fillId="0" borderId="0" xfId="0" applyFont="1"/>
    <xf numFmtId="0" fontId="0" fillId="0" borderId="16" xfId="0" applyBorder="1" applyAlignment="1">
      <alignment horizontal="left" indent="10"/>
    </xf>
    <xf numFmtId="0" fontId="4" fillId="0" borderId="16" xfId="0" applyFont="1" applyBorder="1" applyAlignment="1">
      <alignment horizontal="left" indent="10"/>
    </xf>
    <xf numFmtId="0" fontId="1" fillId="6" borderId="0" xfId="3" applyFill="1"/>
    <xf numFmtId="0" fontId="1" fillId="6" borderId="96" xfId="3" applyFill="1" applyBorder="1"/>
    <xf numFmtId="0" fontId="54" fillId="6" borderId="97" xfId="3" applyFont="1" applyFill="1" applyBorder="1"/>
    <xf numFmtId="0" fontId="1" fillId="6" borderId="97" xfId="3" applyFill="1" applyBorder="1"/>
    <xf numFmtId="0" fontId="1" fillId="6" borderId="98" xfId="3" applyFill="1" applyBorder="1"/>
    <xf numFmtId="0" fontId="1" fillId="6" borderId="99" xfId="3" applyFill="1" applyBorder="1"/>
    <xf numFmtId="0" fontId="56" fillId="6" borderId="0" xfId="3" applyFont="1" applyFill="1" applyAlignment="1">
      <alignment vertical="center"/>
    </xf>
    <xf numFmtId="0" fontId="56" fillId="6" borderId="0" xfId="3" applyFont="1" applyFill="1"/>
    <xf numFmtId="0" fontId="1" fillId="6" borderId="100" xfId="3" applyFill="1" applyBorder="1"/>
    <xf numFmtId="0" fontId="57" fillId="6" borderId="0" xfId="3" applyFont="1" applyFill="1"/>
    <xf numFmtId="0" fontId="57" fillId="6" borderId="0" xfId="3" applyFont="1" applyFill="1" applyAlignment="1">
      <alignment horizontal="center"/>
    </xf>
    <xf numFmtId="0" fontId="59" fillId="6" borderId="99" xfId="3" applyFont="1" applyFill="1" applyBorder="1"/>
    <xf numFmtId="0" fontId="60" fillId="6" borderId="0" xfId="3" applyFont="1" applyFill="1"/>
    <xf numFmtId="0" fontId="59" fillId="6" borderId="0" xfId="3" applyFont="1" applyFill="1"/>
    <xf numFmtId="0" fontId="53" fillId="6" borderId="0" xfId="3" applyFont="1" applyFill="1"/>
    <xf numFmtId="0" fontId="61" fillId="6" borderId="0" xfId="3" applyFont="1" applyFill="1"/>
    <xf numFmtId="0" fontId="62" fillId="6" borderId="0" xfId="3" applyFont="1" applyFill="1"/>
    <xf numFmtId="0" fontId="53" fillId="6" borderId="100" xfId="3" applyFont="1" applyFill="1" applyBorder="1"/>
    <xf numFmtId="0" fontId="61" fillId="6" borderId="0" xfId="3" applyFont="1" applyFill="1" applyAlignment="1">
      <alignment horizontal="right"/>
    </xf>
    <xf numFmtId="0" fontId="60" fillId="6" borderId="0" xfId="3" quotePrefix="1" applyFont="1" applyFill="1"/>
    <xf numFmtId="0" fontId="63" fillId="6" borderId="0" xfId="3" applyFont="1" applyFill="1"/>
    <xf numFmtId="0" fontId="53" fillId="6" borderId="16" xfId="3" applyFont="1" applyFill="1" applyBorder="1"/>
    <xf numFmtId="0" fontId="61" fillId="6" borderId="16" xfId="3" applyFont="1" applyFill="1" applyBorder="1"/>
    <xf numFmtId="0" fontId="61" fillId="6" borderId="0" xfId="3" quotePrefix="1" applyFont="1" applyFill="1" applyAlignment="1">
      <alignment horizontal="right"/>
    </xf>
    <xf numFmtId="0" fontId="60" fillId="6" borderId="0" xfId="3" quotePrefix="1" applyFont="1" applyFill="1" applyAlignment="1">
      <alignment horizontal="left"/>
    </xf>
    <xf numFmtId="0" fontId="53" fillId="6" borderId="9" xfId="3" applyFont="1" applyFill="1" applyBorder="1"/>
    <xf numFmtId="0" fontId="61" fillId="6" borderId="9" xfId="3" applyFont="1" applyFill="1" applyBorder="1"/>
    <xf numFmtId="0" fontId="61" fillId="6" borderId="0" xfId="3" quotePrefix="1" applyFont="1" applyFill="1" applyAlignment="1">
      <alignment horizontal="right" readingOrder="2"/>
    </xf>
    <xf numFmtId="0" fontId="65" fillId="6" borderId="100" xfId="3" applyFont="1" applyFill="1" applyBorder="1" applyAlignment="1">
      <alignment horizontal="right" vertical="top"/>
    </xf>
    <xf numFmtId="0" fontId="65" fillId="6" borderId="0" xfId="3" applyFont="1" applyFill="1" applyAlignment="1">
      <alignment horizontal="right" vertical="top"/>
    </xf>
    <xf numFmtId="0" fontId="53" fillId="6" borderId="99" xfId="3" applyFont="1" applyFill="1" applyBorder="1"/>
    <xf numFmtId="0" fontId="66" fillId="6" borderId="0" xfId="3" applyFont="1" applyFill="1" applyAlignment="1">
      <alignment horizontal="left"/>
    </xf>
    <xf numFmtId="49" fontId="53" fillId="6" borderId="0" xfId="3" applyNumberFormat="1" applyFont="1" applyFill="1"/>
    <xf numFmtId="49" fontId="53" fillId="6" borderId="0" xfId="3" applyNumberFormat="1" applyFont="1" applyFill="1" applyAlignment="1">
      <alignment horizontal="left"/>
    </xf>
    <xf numFmtId="0" fontId="61" fillId="6" borderId="0" xfId="3" applyFont="1" applyFill="1" applyAlignment="1">
      <alignment horizontal="right" readingOrder="2"/>
    </xf>
    <xf numFmtId="0" fontId="53" fillId="6" borderId="0" xfId="3" applyFont="1" applyFill="1" applyAlignment="1">
      <alignment vertical="center"/>
    </xf>
    <xf numFmtId="0" fontId="57" fillId="6" borderId="0" xfId="3" applyFont="1" applyFill="1" applyAlignment="1">
      <alignment vertical="center"/>
    </xf>
    <xf numFmtId="0" fontId="68" fillId="7" borderId="0" xfId="3" applyFont="1" applyFill="1" applyAlignment="1">
      <alignment vertical="center"/>
    </xf>
    <xf numFmtId="49" fontId="68" fillId="7" borderId="0" xfId="3" applyNumberFormat="1" applyFont="1" applyFill="1" applyAlignment="1">
      <alignment vertical="center"/>
    </xf>
    <xf numFmtId="0" fontId="68" fillId="6" borderId="0" xfId="3" applyFont="1" applyFill="1" applyAlignment="1">
      <alignment vertical="center"/>
    </xf>
    <xf numFmtId="0" fontId="57" fillId="7" borderId="0" xfId="3" applyFont="1" applyFill="1"/>
    <xf numFmtId="49" fontId="57" fillId="7" borderId="0" xfId="3" applyNumberFormat="1" applyFont="1" applyFill="1" applyAlignment="1">
      <alignment horizontal="center"/>
    </xf>
    <xf numFmtId="0" fontId="57" fillId="7" borderId="0" xfId="3" applyFont="1" applyFill="1" applyAlignment="1">
      <alignment horizontal="center"/>
    </xf>
    <xf numFmtId="0" fontId="58" fillId="8" borderId="17" xfId="3" applyFont="1" applyFill="1" applyBorder="1"/>
    <xf numFmtId="0" fontId="61" fillId="8" borderId="18" xfId="3" applyFont="1" applyFill="1" applyBorder="1"/>
    <xf numFmtId="0" fontId="61" fillId="8" borderId="17" xfId="3" applyFont="1" applyFill="1" applyBorder="1"/>
    <xf numFmtId="0" fontId="53" fillId="8" borderId="19" xfId="3" applyFont="1" applyFill="1" applyBorder="1"/>
    <xf numFmtId="0" fontId="53" fillId="6" borderId="100" xfId="3" applyFont="1" applyFill="1" applyBorder="1" applyAlignment="1">
      <alignment horizontal="right" vertical="top"/>
    </xf>
    <xf numFmtId="0" fontId="53" fillId="6" borderId="99" xfId="3" applyFont="1" applyFill="1" applyBorder="1" applyAlignment="1">
      <alignment vertical="center"/>
    </xf>
    <xf numFmtId="49" fontId="58" fillId="6" borderId="17" xfId="3" applyNumberFormat="1" applyFont="1" applyFill="1" applyBorder="1" applyAlignment="1">
      <alignment vertical="center"/>
    </xf>
    <xf numFmtId="0" fontId="53" fillId="6" borderId="18" xfId="3" applyFont="1" applyFill="1" applyBorder="1" applyAlignment="1">
      <alignment vertical="center"/>
    </xf>
    <xf numFmtId="0" fontId="53" fillId="6" borderId="18" xfId="4" applyNumberFormat="1" applyFont="1" applyFill="1" applyBorder="1" applyAlignment="1">
      <alignment vertical="center"/>
    </xf>
    <xf numFmtId="0" fontId="70" fillId="6" borderId="18" xfId="4" applyNumberFormat="1" applyFont="1" applyFill="1" applyBorder="1" applyAlignment="1">
      <alignment vertical="center"/>
    </xf>
    <xf numFmtId="0" fontId="70" fillId="6" borderId="18" xfId="4" applyNumberFormat="1" applyFont="1" applyFill="1" applyBorder="1" applyAlignment="1">
      <alignment horizontal="center" vertical="center"/>
    </xf>
    <xf numFmtId="0" fontId="70" fillId="6" borderId="18" xfId="3" applyFont="1" applyFill="1" applyBorder="1" applyAlignment="1">
      <alignment vertical="center"/>
    </xf>
    <xf numFmtId="0" fontId="53" fillId="6" borderId="18" xfId="3" applyFont="1" applyFill="1" applyBorder="1"/>
    <xf numFmtId="0" fontId="53" fillId="6" borderId="19" xfId="3" applyFont="1" applyFill="1" applyBorder="1" applyAlignment="1">
      <alignment horizontal="right"/>
    </xf>
    <xf numFmtId="49" fontId="58" fillId="6" borderId="17" xfId="3" applyNumberFormat="1" applyFont="1" applyFill="1" applyBorder="1" applyAlignment="1">
      <alignment vertical="center" readingOrder="1"/>
    </xf>
    <xf numFmtId="0" fontId="53" fillId="6" borderId="19" xfId="3" applyFont="1" applyFill="1" applyBorder="1"/>
    <xf numFmtId="49" fontId="53" fillId="6" borderId="18" xfId="4" applyNumberFormat="1" applyFont="1" applyFill="1" applyBorder="1" applyAlignment="1">
      <alignment vertical="center"/>
    </xf>
    <xf numFmtId="49" fontId="53" fillId="6" borderId="18" xfId="3" applyNumberFormat="1" applyFont="1" applyFill="1" applyBorder="1" applyAlignment="1">
      <alignment vertical="center"/>
    </xf>
    <xf numFmtId="49" fontId="58" fillId="6" borderId="57" xfId="3" applyNumberFormat="1" applyFont="1" applyFill="1" applyBorder="1" applyAlignment="1">
      <alignment vertical="center"/>
    </xf>
    <xf numFmtId="49" fontId="53" fillId="6" borderId="57" xfId="3" applyNumberFormat="1" applyFont="1" applyFill="1" applyBorder="1" applyAlignment="1">
      <alignment vertical="center"/>
    </xf>
    <xf numFmtId="0" fontId="53" fillId="6" borderId="57" xfId="3" applyFont="1" applyFill="1" applyBorder="1" applyAlignment="1">
      <alignment vertical="center"/>
    </xf>
    <xf numFmtId="3" fontId="53" fillId="6" borderId="57" xfId="3" applyNumberFormat="1" applyFont="1" applyFill="1" applyBorder="1" applyAlignment="1">
      <alignment vertical="center"/>
    </xf>
    <xf numFmtId="171" fontId="53" fillId="6" borderId="57" xfId="4" applyNumberFormat="1" applyFont="1" applyFill="1" applyBorder="1" applyAlignment="1">
      <alignment horizontal="left" vertical="center"/>
    </xf>
    <xf numFmtId="0" fontId="61" fillId="6" borderId="57" xfId="3" applyFont="1" applyFill="1" applyBorder="1" applyAlignment="1">
      <alignment horizontal="right" vertical="center"/>
    </xf>
    <xf numFmtId="49" fontId="58" fillId="6" borderId="0" xfId="3" applyNumberFormat="1" applyFont="1" applyFill="1" applyAlignment="1">
      <alignment vertical="center"/>
    </xf>
    <xf numFmtId="49" fontId="53" fillId="6" borderId="0" xfId="3" applyNumberFormat="1" applyFont="1" applyFill="1" applyAlignment="1">
      <alignment vertical="center"/>
    </xf>
    <xf numFmtId="3" fontId="53" fillId="6" borderId="0" xfId="3" applyNumberFormat="1" applyFont="1" applyFill="1" applyAlignment="1">
      <alignment vertical="center"/>
    </xf>
    <xf numFmtId="171" fontId="53" fillId="6" borderId="0" xfId="4" applyNumberFormat="1" applyFont="1" applyFill="1" applyBorder="1" applyAlignment="1">
      <alignment horizontal="left" vertical="center"/>
    </xf>
    <xf numFmtId="0" fontId="61" fillId="6" borderId="0" xfId="3" applyFont="1" applyFill="1" applyAlignment="1">
      <alignment horizontal="right" vertical="center"/>
    </xf>
    <xf numFmtId="0" fontId="61" fillId="6" borderId="0" xfId="3" quotePrefix="1" applyFont="1" applyFill="1" applyAlignment="1">
      <alignment readingOrder="1"/>
    </xf>
    <xf numFmtId="0" fontId="61" fillId="6" borderId="0" xfId="3" applyFont="1" applyFill="1" applyAlignment="1">
      <alignment horizontal="center"/>
    </xf>
    <xf numFmtId="0" fontId="58" fillId="6" borderId="0" xfId="3" applyFont="1" applyFill="1" applyAlignment="1">
      <alignment readingOrder="2"/>
    </xf>
    <xf numFmtId="0" fontId="58" fillId="6" borderId="0" xfId="3" applyFont="1" applyFill="1"/>
    <xf numFmtId="0" fontId="53" fillId="6" borderId="0" xfId="5" applyFont="1" applyFill="1"/>
    <xf numFmtId="0" fontId="73" fillId="6" borderId="0" xfId="5" applyFont="1" applyFill="1"/>
    <xf numFmtId="0" fontId="53" fillId="6" borderId="0" xfId="5" applyFont="1" applyFill="1" applyAlignment="1">
      <alignment horizontal="center"/>
    </xf>
    <xf numFmtId="0" fontId="74" fillId="6" borderId="0" xfId="5" applyFont="1" applyFill="1" applyAlignment="1">
      <alignment vertical="center" wrapText="1"/>
    </xf>
    <xf numFmtId="9" fontId="53" fillId="6" borderId="0" xfId="5" applyNumberFormat="1" applyFont="1" applyFill="1" applyAlignment="1">
      <alignment vertical="center"/>
    </xf>
    <xf numFmtId="0" fontId="53" fillId="6" borderId="0" xfId="5" applyFont="1" applyFill="1" applyAlignment="1">
      <alignment vertical="center"/>
    </xf>
    <xf numFmtId="165" fontId="53" fillId="6" borderId="0" xfId="3" applyNumberFormat="1" applyFont="1" applyFill="1" applyAlignment="1">
      <alignment vertical="center"/>
    </xf>
    <xf numFmtId="172" fontId="75" fillId="6" borderId="0" xfId="6" applyFont="1" applyFill="1" applyBorder="1" applyAlignment="1">
      <alignment vertical="center"/>
    </xf>
    <xf numFmtId="164" fontId="74" fillId="6" borderId="0" xfId="6" applyNumberFormat="1" applyFont="1" applyFill="1" applyBorder="1" applyAlignment="1">
      <alignment vertical="center"/>
    </xf>
    <xf numFmtId="172" fontId="75" fillId="6" borderId="0" xfId="6" applyFont="1" applyFill="1" applyBorder="1" applyAlignment="1">
      <alignment horizontal="center" vertical="center"/>
    </xf>
    <xf numFmtId="0" fontId="76" fillId="6" borderId="0" xfId="5" applyFont="1" applyFill="1" applyAlignment="1">
      <alignment vertical="center" readingOrder="1"/>
    </xf>
    <xf numFmtId="0" fontId="76" fillId="6" borderId="0" xfId="5" applyFont="1" applyFill="1" applyAlignment="1">
      <alignment vertical="center" wrapText="1"/>
    </xf>
    <xf numFmtId="0" fontId="59" fillId="6" borderId="0" xfId="5" applyFont="1" applyFill="1"/>
    <xf numFmtId="0" fontId="59" fillId="6" borderId="0" xfId="5" applyFont="1" applyFill="1" applyAlignment="1">
      <alignment vertical="center"/>
    </xf>
    <xf numFmtId="0" fontId="59" fillId="6" borderId="0" xfId="3" applyFont="1" applyFill="1" applyAlignment="1">
      <alignment vertical="center"/>
    </xf>
    <xf numFmtId="172" fontId="77" fillId="6" borderId="0" xfId="6" applyFont="1" applyFill="1" applyBorder="1" applyAlignment="1">
      <alignment vertical="center"/>
    </xf>
    <xf numFmtId="164" fontId="76" fillId="6" borderId="0" xfId="6" applyNumberFormat="1" applyFont="1" applyFill="1" applyBorder="1" applyAlignment="1">
      <alignment vertical="center"/>
    </xf>
    <xf numFmtId="172" fontId="77" fillId="6" borderId="0" xfId="6" applyFont="1" applyFill="1" applyBorder="1" applyAlignment="1">
      <alignment horizontal="center" vertical="center"/>
    </xf>
    <xf numFmtId="164" fontId="76" fillId="6" borderId="0" xfId="6" applyNumberFormat="1" applyFont="1" applyFill="1" applyBorder="1" applyAlignment="1">
      <alignment horizontal="right" vertical="center"/>
    </xf>
    <xf numFmtId="164" fontId="76" fillId="6" borderId="0" xfId="6" applyNumberFormat="1" applyFont="1" applyFill="1" applyBorder="1" applyAlignment="1">
      <alignment vertical="center" readingOrder="1"/>
    </xf>
    <xf numFmtId="0" fontId="59" fillId="6" borderId="0" xfId="5" applyFont="1" applyFill="1" applyAlignment="1">
      <alignment readingOrder="1"/>
    </xf>
    <xf numFmtId="170" fontId="59" fillId="6" borderId="0" xfId="5" applyNumberFormat="1" applyFont="1" applyFill="1" applyAlignment="1">
      <alignment vertical="center"/>
    </xf>
    <xf numFmtId="164" fontId="59" fillId="6" borderId="0" xfId="3" applyNumberFormat="1" applyFont="1" applyFill="1" applyAlignment="1">
      <alignment vertical="center"/>
    </xf>
    <xf numFmtId="0" fontId="78" fillId="6" borderId="0" xfId="3" applyFont="1" applyFill="1"/>
    <xf numFmtId="0" fontId="1" fillId="6" borderId="103" xfId="3" applyFill="1" applyBorder="1"/>
    <xf numFmtId="0" fontId="1" fillId="6" borderId="104" xfId="3" applyFill="1" applyBorder="1"/>
    <xf numFmtId="0" fontId="1" fillId="6" borderId="105" xfId="3" applyFill="1" applyBorder="1"/>
    <xf numFmtId="0" fontId="0" fillId="0" borderId="5" xfId="0" applyBorder="1"/>
    <xf numFmtId="0" fontId="0" fillId="0" borderId="6" xfId="0" applyBorder="1"/>
    <xf numFmtId="0" fontId="79" fillId="0" borderId="11" xfId="0" applyFont="1" applyBorder="1"/>
    <xf numFmtId="0" fontId="80" fillId="9" borderId="106" xfId="0" applyFont="1" applyFill="1" applyBorder="1" applyAlignment="1">
      <alignment horizontal="right" vertical="center" wrapText="1" readingOrder="2"/>
    </xf>
    <xf numFmtId="0" fontId="80" fillId="9" borderId="106" xfId="0" applyFont="1" applyFill="1" applyBorder="1" applyAlignment="1">
      <alignment horizontal="left" vertical="center" wrapText="1" shrinkToFit="1"/>
    </xf>
    <xf numFmtId="0" fontId="80" fillId="9" borderId="106" xfId="0" applyFont="1" applyFill="1" applyBorder="1" applyAlignment="1">
      <alignment horizontal="center" vertical="center" wrapText="1" readingOrder="1"/>
    </xf>
    <xf numFmtId="0" fontId="80" fillId="9" borderId="106" xfId="0" applyFont="1" applyFill="1" applyBorder="1" applyAlignment="1">
      <alignment horizontal="right" vertical="top" wrapText="1"/>
    </xf>
    <xf numFmtId="0" fontId="80" fillId="0" borderId="106" xfId="0" applyFont="1" applyBorder="1" applyAlignment="1">
      <alignment horizontal="right" vertical="top" wrapText="1"/>
    </xf>
    <xf numFmtId="0" fontId="79" fillId="0" borderId="12" xfId="0" applyFont="1" applyBorder="1"/>
    <xf numFmtId="0" fontId="79" fillId="0" borderId="0" xfId="0" applyFont="1"/>
    <xf numFmtId="0" fontId="80" fillId="9" borderId="29" xfId="0" applyFont="1" applyFill="1" applyBorder="1" applyAlignment="1">
      <alignment horizontal="left" vertical="top" wrapText="1" readingOrder="1"/>
    </xf>
    <xf numFmtId="0" fontId="80" fillId="9" borderId="29" xfId="0" applyFont="1" applyFill="1" applyBorder="1" applyAlignment="1">
      <alignment horizontal="left" vertical="top" wrapText="1" shrinkToFit="1"/>
    </xf>
    <xf numFmtId="0" fontId="80" fillId="9" borderId="29" xfId="0" applyFont="1" applyFill="1" applyBorder="1" applyAlignment="1">
      <alignment horizontal="center" vertical="top" wrapText="1" readingOrder="1"/>
    </xf>
    <xf numFmtId="0" fontId="80" fillId="9" borderId="29" xfId="0" applyFont="1" applyFill="1" applyBorder="1" applyAlignment="1">
      <alignment horizontal="left" vertical="top" wrapText="1"/>
    </xf>
    <xf numFmtId="0" fontId="38" fillId="9" borderId="29" xfId="0" applyFont="1" applyFill="1" applyBorder="1" applyAlignment="1">
      <alignment horizontal="left" vertical="top" wrapText="1"/>
    </xf>
    <xf numFmtId="0" fontId="80" fillId="0" borderId="29" xfId="0" applyFont="1" applyBorder="1" applyAlignment="1">
      <alignment horizontal="left" vertical="top" wrapText="1"/>
    </xf>
    <xf numFmtId="49" fontId="0" fillId="9" borderId="20" xfId="0" applyNumberFormat="1" applyFill="1" applyBorder="1" applyAlignment="1">
      <alignment horizontal="center" wrapText="1"/>
    </xf>
    <xf numFmtId="49" fontId="0" fillId="9" borderId="20" xfId="0" applyNumberFormat="1" applyFill="1" applyBorder="1" applyAlignment="1">
      <alignment horizontal="center"/>
    </xf>
    <xf numFmtId="0" fontId="0" fillId="9" borderId="20" xfId="0" applyFill="1" applyBorder="1" applyAlignment="1">
      <alignment horizontal="center" wrapText="1"/>
    </xf>
    <xf numFmtId="14" fontId="0" fillId="9" borderId="20" xfId="0" applyNumberFormat="1" applyFill="1" applyBorder="1" applyAlignment="1">
      <alignment horizontal="center"/>
    </xf>
    <xf numFmtId="14" fontId="0" fillId="9" borderId="20" xfId="0" applyNumberFormat="1" applyFill="1" applyBorder="1"/>
    <xf numFmtId="4" fontId="81" fillId="9" borderId="20" xfId="0" applyNumberFormat="1" applyFont="1" applyFill="1" applyBorder="1"/>
    <xf numFmtId="0" fontId="0" fillId="9" borderId="20" xfId="0" applyFill="1" applyBorder="1" applyAlignment="1">
      <alignment horizontal="center"/>
    </xf>
    <xf numFmtId="14" fontId="82" fillId="9" borderId="20" xfId="0" applyNumberFormat="1" applyFont="1" applyFill="1" applyBorder="1"/>
    <xf numFmtId="4" fontId="83" fillId="10" borderId="20" xfId="0" applyNumberFormat="1" applyFont="1" applyFill="1" applyBorder="1"/>
    <xf numFmtId="0" fontId="0" fillId="0" borderId="0" xfId="0" applyAlignment="1">
      <alignment horizontal="right" readingOrder="2"/>
    </xf>
    <xf numFmtId="0" fontId="0" fillId="0" borderId="0" xfId="0" applyAlignment="1">
      <alignment readingOrder="1"/>
    </xf>
    <xf numFmtId="14" fontId="14" fillId="11" borderId="20" xfId="0" applyNumberFormat="1" applyFont="1" applyFill="1" applyBorder="1"/>
    <xf numFmtId="4" fontId="14" fillId="11" borderId="20" xfId="0" applyNumberFormat="1" applyFont="1" applyFill="1" applyBorder="1"/>
    <xf numFmtId="4" fontId="0" fillId="9" borderId="20" xfId="0" applyNumberFormat="1" applyFill="1" applyBorder="1"/>
    <xf numFmtId="4" fontId="82" fillId="9" borderId="20" xfId="0" applyNumberFormat="1" applyFont="1" applyFill="1" applyBorder="1"/>
    <xf numFmtId="168" fontId="14" fillId="3" borderId="19" xfId="0" applyNumberFormat="1" applyFont="1" applyFill="1" applyBorder="1" applyAlignment="1">
      <alignment horizontal="centerContinuous"/>
    </xf>
    <xf numFmtId="0" fontId="14" fillId="3" borderId="19" xfId="0" applyFont="1" applyFill="1" applyBorder="1" applyAlignment="1">
      <alignment horizontal="left" indent="8"/>
    </xf>
    <xf numFmtId="0" fontId="14" fillId="3" borderId="19" xfId="0" applyFont="1" applyFill="1" applyBorder="1" applyAlignment="1">
      <alignment horizontal="left" indent="9"/>
    </xf>
    <xf numFmtId="0" fontId="0" fillId="0" borderId="110" xfId="0" applyBorder="1"/>
    <xf numFmtId="0" fontId="87" fillId="9" borderId="20" xfId="0" applyFont="1" applyFill="1" applyBorder="1" applyAlignment="1">
      <alignment horizontal="center" vertical="center" wrapText="1"/>
    </xf>
    <xf numFmtId="14" fontId="87" fillId="9" borderId="20" xfId="0" applyNumberFormat="1" applyFont="1" applyFill="1" applyBorder="1" applyAlignment="1">
      <alignment horizontal="center" vertical="center" wrapText="1"/>
    </xf>
    <xf numFmtId="4" fontId="88" fillId="9" borderId="20" xfId="0" applyNumberFormat="1" applyFont="1" applyFill="1" applyBorder="1" applyAlignment="1">
      <alignment horizontal="center" vertical="center" wrapText="1"/>
    </xf>
    <xf numFmtId="0" fontId="89" fillId="0" borderId="20" xfId="0" applyFont="1" applyBorder="1" applyAlignment="1">
      <alignment horizontal="center" vertical="center" wrapText="1"/>
    </xf>
    <xf numFmtId="49" fontId="89" fillId="0" borderId="20" xfId="0" applyNumberFormat="1" applyFont="1" applyBorder="1" applyAlignment="1">
      <alignment horizontal="center" vertical="center" wrapText="1"/>
    </xf>
    <xf numFmtId="0" fontId="90" fillId="0" borderId="16" xfId="0" applyFont="1" applyBorder="1" applyAlignment="1">
      <alignment horizontal="center" vertical="center"/>
    </xf>
    <xf numFmtId="0" fontId="90" fillId="0" borderId="33" xfId="0" applyFont="1" applyBorder="1" applyAlignment="1">
      <alignment horizontal="left" vertical="center"/>
    </xf>
    <xf numFmtId="169" fontId="90" fillId="12" borderId="37" xfId="0" applyNumberFormat="1" applyFont="1" applyFill="1" applyBorder="1" applyAlignment="1">
      <alignment vertical="center"/>
    </xf>
    <xf numFmtId="9" fontId="90" fillId="12" borderId="37" xfId="0" applyNumberFormat="1" applyFont="1" applyFill="1" applyBorder="1" applyAlignment="1">
      <alignment vertical="center"/>
    </xf>
    <xf numFmtId="169" fontId="91" fillId="12" borderId="76" xfId="0" applyNumberFormat="1" applyFont="1" applyFill="1" applyBorder="1" applyAlignment="1">
      <alignment vertical="center"/>
    </xf>
    <xf numFmtId="0" fontId="90" fillId="0" borderId="72" xfId="0" applyFont="1" applyBorder="1" applyAlignment="1">
      <alignment horizontal="left" vertical="center"/>
    </xf>
    <xf numFmtId="0" fontId="90" fillId="0" borderId="73" xfId="0" applyFont="1" applyBorder="1" applyAlignment="1">
      <alignment horizontal="left" vertical="center"/>
    </xf>
    <xf numFmtId="169" fontId="90" fillId="12" borderId="41" xfId="0" applyNumberFormat="1" applyFont="1" applyFill="1" applyBorder="1" applyAlignment="1">
      <alignment vertical="center"/>
    </xf>
    <xf numFmtId="0" fontId="91" fillId="12" borderId="41" xfId="0" applyFont="1" applyFill="1" applyBorder="1" applyAlignment="1">
      <alignment vertical="center"/>
    </xf>
    <xf numFmtId="169" fontId="91" fillId="12" borderId="42" xfId="0" applyNumberFormat="1" applyFont="1" applyFill="1" applyBorder="1" applyAlignment="1">
      <alignment vertical="center"/>
    </xf>
    <xf numFmtId="0" fontId="6" fillId="12" borderId="0" xfId="0" applyFont="1" applyFill="1" applyAlignment="1">
      <alignment vertical="center"/>
    </xf>
    <xf numFmtId="0" fontId="39" fillId="12" borderId="10" xfId="0" applyFont="1" applyFill="1" applyBorder="1" applyAlignment="1">
      <alignment vertical="center"/>
    </xf>
    <xf numFmtId="169" fontId="26" fillId="12" borderId="9" xfId="0" applyNumberFormat="1" applyFont="1" applyFill="1" applyBorder="1" applyAlignment="1">
      <alignment vertical="center"/>
    </xf>
    <xf numFmtId="0" fontId="0" fillId="0" borderId="111" xfId="0" applyBorder="1"/>
    <xf numFmtId="0" fontId="52" fillId="0" borderId="111" xfId="0" applyFont="1" applyBorder="1" applyAlignment="1">
      <alignment horizontal="center" vertical="center"/>
    </xf>
    <xf numFmtId="14" fontId="0" fillId="0" borderId="109" xfId="0" applyNumberFormat="1" applyBorder="1"/>
    <xf numFmtId="4" fontId="85" fillId="0" borderId="109" xfId="0" applyNumberFormat="1" applyFont="1" applyBorder="1"/>
    <xf numFmtId="0" fontId="0" fillId="0" borderId="109" xfId="0" applyBorder="1"/>
    <xf numFmtId="14" fontId="0" fillId="0" borderId="107" xfId="0" applyNumberFormat="1" applyBorder="1"/>
    <xf numFmtId="4" fontId="85" fillId="0" borderId="107" xfId="0" applyNumberFormat="1" applyFont="1" applyBorder="1"/>
    <xf numFmtId="0" fontId="0" fillId="0" borderId="107" xfId="0" applyBorder="1"/>
    <xf numFmtId="14" fontId="52" fillId="0" borderId="107" xfId="0" applyNumberFormat="1" applyFont="1" applyBorder="1"/>
    <xf numFmtId="4" fontId="86" fillId="0" borderId="107" xfId="0" applyNumberFormat="1" applyFont="1" applyBorder="1"/>
    <xf numFmtId="0" fontId="0" fillId="0" borderId="108" xfId="0" applyBorder="1"/>
    <xf numFmtId="0" fontId="0" fillId="0" borderId="112" xfId="0" applyBorder="1"/>
    <xf numFmtId="4" fontId="85" fillId="0" borderId="108" xfId="0" applyNumberFormat="1" applyFont="1" applyBorder="1"/>
    <xf numFmtId="0" fontId="52" fillId="0" borderId="0" xfId="0" applyFont="1"/>
    <xf numFmtId="0" fontId="52" fillId="0" borderId="110" xfId="0" applyFont="1" applyBorder="1"/>
    <xf numFmtId="0" fontId="52" fillId="0" borderId="107" xfId="0" applyFont="1" applyBorder="1"/>
    <xf numFmtId="43" fontId="92" fillId="0" borderId="107" xfId="1" applyFont="1" applyFill="1" applyBorder="1"/>
    <xf numFmtId="14" fontId="0" fillId="0" borderId="113" xfId="0" applyNumberFormat="1" applyBorder="1"/>
    <xf numFmtId="43" fontId="92" fillId="0" borderId="0" xfId="1" applyFont="1" applyFill="1" applyBorder="1"/>
    <xf numFmtId="0" fontId="52" fillId="13" borderId="0" xfId="0" applyFont="1" applyFill="1"/>
    <xf numFmtId="165" fontId="0" fillId="0" borderId="0" xfId="0" applyNumberFormat="1"/>
    <xf numFmtId="169" fontId="95" fillId="2" borderId="20" xfId="0" applyNumberFormat="1" applyFont="1" applyFill="1" applyBorder="1" applyAlignment="1">
      <alignment horizontal="left" vertical="top" wrapText="1"/>
    </xf>
    <xf numFmtId="4" fontId="81" fillId="9" borderId="20" xfId="0" applyNumberFormat="1" applyFont="1" applyFill="1" applyBorder="1" applyAlignment="1">
      <alignment vertical="center"/>
    </xf>
    <xf numFmtId="4" fontId="81" fillId="9" borderId="20" xfId="0" applyNumberFormat="1" applyFont="1" applyFill="1" applyBorder="1" applyAlignment="1">
      <alignment horizontal="center" vertical="center"/>
    </xf>
    <xf numFmtId="4" fontId="85" fillId="0" borderId="0" xfId="0" applyNumberFormat="1" applyFont="1"/>
    <xf numFmtId="0" fontId="0" fillId="0" borderId="115" xfId="0" applyBorder="1"/>
    <xf numFmtId="0" fontId="52" fillId="0" borderId="115" xfId="0" applyFont="1" applyBorder="1" applyAlignment="1">
      <alignment horizontal="center" vertical="center"/>
    </xf>
    <xf numFmtId="14" fontId="0" fillId="0" borderId="116" xfId="0" applyNumberFormat="1" applyBorder="1"/>
    <xf numFmtId="43" fontId="92" fillId="0" borderId="117" xfId="1" applyFont="1" applyFill="1" applyBorder="1"/>
    <xf numFmtId="4" fontId="85" fillId="0" borderId="117" xfId="0" applyNumberFormat="1" applyFont="1" applyBorder="1"/>
    <xf numFmtId="0" fontId="0" fillId="0" borderId="117" xfId="0" applyBorder="1"/>
    <xf numFmtId="0" fontId="52" fillId="0" borderId="118" xfId="0" applyFont="1" applyBorder="1" applyAlignment="1">
      <alignment vertical="center"/>
    </xf>
    <xf numFmtId="14" fontId="0" fillId="0" borderId="119" xfId="0" applyNumberFormat="1" applyBorder="1"/>
    <xf numFmtId="0" fontId="52" fillId="0" borderId="120" xfId="0" applyFont="1" applyBorder="1" applyAlignment="1">
      <alignment vertical="center"/>
    </xf>
    <xf numFmtId="14" fontId="0" fillId="0" borderId="121" xfId="0" applyNumberFormat="1" applyBorder="1"/>
    <xf numFmtId="43" fontId="92" fillId="0" borderId="122" xfId="1" applyFont="1" applyFill="1" applyBorder="1"/>
    <xf numFmtId="4" fontId="85" fillId="0" borderId="123" xfId="0" applyNumberFormat="1" applyFont="1" applyBorder="1"/>
    <xf numFmtId="0" fontId="0" fillId="0" borderId="122" xfId="0" applyBorder="1"/>
    <xf numFmtId="0" fontId="52" fillId="0" borderId="124" xfId="0" applyFont="1" applyBorder="1" applyAlignment="1">
      <alignment vertical="center"/>
    </xf>
    <xf numFmtId="0" fontId="52" fillId="0" borderId="115" xfId="0" applyFont="1" applyBorder="1" applyAlignment="1">
      <alignment vertical="center"/>
    </xf>
    <xf numFmtId="14" fontId="0" fillId="0" borderId="126" xfId="0" applyNumberFormat="1" applyBorder="1"/>
    <xf numFmtId="43" fontId="92" fillId="0" borderId="6" xfId="1" applyFont="1" applyFill="1" applyBorder="1"/>
    <xf numFmtId="4" fontId="85" fillId="0" borderId="6" xfId="0" applyNumberFormat="1" applyFont="1" applyBorder="1"/>
    <xf numFmtId="43" fontId="0" fillId="0" borderId="14" xfId="1" applyFont="1" applyFill="1" applyBorder="1"/>
    <xf numFmtId="43" fontId="0" fillId="0" borderId="0" xfId="1" applyFont="1" applyFill="1" applyBorder="1"/>
    <xf numFmtId="0" fontId="52" fillId="0" borderId="0" xfId="0" applyFont="1" applyAlignment="1">
      <alignment vertical="center"/>
    </xf>
    <xf numFmtId="0" fontId="52" fillId="0" borderId="129" xfId="0" applyFont="1" applyBorder="1" applyAlignment="1">
      <alignment vertical="center"/>
    </xf>
    <xf numFmtId="14" fontId="0" fillId="0" borderId="0" xfId="0" applyNumberFormat="1"/>
    <xf numFmtId="0" fontId="52" fillId="0" borderId="130" xfId="0" applyFont="1" applyBorder="1" applyAlignment="1">
      <alignment vertical="center"/>
    </xf>
    <xf numFmtId="4" fontId="96" fillId="14" borderId="114" xfId="0" applyNumberFormat="1" applyFont="1" applyFill="1" applyBorder="1" applyAlignment="1">
      <alignment horizontal="center" vertical="center"/>
    </xf>
    <xf numFmtId="4" fontId="93" fillId="14" borderId="114" xfId="0" applyNumberFormat="1" applyFont="1" applyFill="1" applyBorder="1" applyAlignment="1">
      <alignment horizontal="center" vertical="center"/>
    </xf>
    <xf numFmtId="0" fontId="97" fillId="0" borderId="0" xfId="0" applyFont="1"/>
    <xf numFmtId="0" fontId="97" fillId="0" borderId="0" xfId="0" applyFont="1" applyAlignment="1">
      <alignment horizontal="center" vertical="center"/>
    </xf>
    <xf numFmtId="0" fontId="97" fillId="0" borderId="0" xfId="0" applyFont="1" applyAlignment="1">
      <alignment horizontal="center"/>
    </xf>
    <xf numFmtId="0" fontId="0" fillId="14" borderId="131" xfId="0" applyFill="1" applyBorder="1" applyAlignment="1">
      <alignment horizontal="center" vertical="center"/>
    </xf>
    <xf numFmtId="4" fontId="85" fillId="14" borderId="132" xfId="0" applyNumberFormat="1" applyFont="1" applyFill="1" applyBorder="1" applyAlignment="1">
      <alignment horizontal="center" vertical="center"/>
    </xf>
    <xf numFmtId="0" fontId="0" fillId="14" borderId="13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5" fillId="0" borderId="0" xfId="0" applyNumberFormat="1" applyFont="1" applyAlignment="1">
      <alignment horizontal="center"/>
    </xf>
    <xf numFmtId="169" fontId="18" fillId="0" borderId="95" xfId="0" applyNumberFormat="1" applyFont="1" applyBorder="1"/>
    <xf numFmtId="169" fontId="18" fillId="0" borderId="92" xfId="0" applyNumberFormat="1" applyFont="1" applyBorder="1"/>
    <xf numFmtId="167" fontId="26" fillId="0" borderId="24" xfId="0" applyNumberFormat="1" applyFont="1" applyBorder="1"/>
    <xf numFmtId="0" fontId="6" fillId="0" borderId="27" xfId="0" quotePrefix="1" applyFont="1" applyBorder="1"/>
    <xf numFmtId="0" fontId="6" fillId="0" borderId="1" xfId="0" applyFont="1" applyBorder="1"/>
    <xf numFmtId="0" fontId="6" fillId="0" borderId="28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169" fontId="18" fillId="0" borderId="93" xfId="0" applyNumberFormat="1" applyFont="1" applyBorder="1"/>
    <xf numFmtId="169" fontId="18" fillId="0" borderId="55" xfId="0" applyNumberFormat="1" applyFont="1" applyBorder="1"/>
    <xf numFmtId="0" fontId="3" fillId="0" borderId="49" xfId="0" applyFont="1" applyBorder="1"/>
    <xf numFmtId="0" fontId="3" fillId="0" borderId="57" xfId="0" applyFont="1" applyBorder="1"/>
    <xf numFmtId="0" fontId="3" fillId="0" borderId="94" xfId="0" applyFont="1" applyBorder="1"/>
    <xf numFmtId="167" fontId="26" fillId="0" borderId="12" xfId="0" applyNumberFormat="1" applyFont="1" applyBorder="1"/>
    <xf numFmtId="0" fontId="3" fillId="0" borderId="0" xfId="0" applyFont="1"/>
    <xf numFmtId="169" fontId="50" fillId="0" borderId="12" xfId="0" applyNumberFormat="1" applyFont="1" applyBorder="1"/>
    <xf numFmtId="0" fontId="3" fillId="0" borderId="61" xfId="0" applyFont="1" applyBorder="1"/>
    <xf numFmtId="0" fontId="3" fillId="0" borderId="62" xfId="0" applyFont="1" applyBorder="1"/>
    <xf numFmtId="0" fontId="4" fillId="0" borderId="15" xfId="0" applyFont="1" applyBorder="1"/>
    <xf numFmtId="0" fontId="2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3" fillId="0" borderId="47" xfId="0" applyFont="1" applyBorder="1"/>
    <xf numFmtId="0" fontId="3" fillId="0" borderId="0" xfId="0" applyFont="1"/>
    <xf numFmtId="0" fontId="3" fillId="0" borderId="30" xfId="0" applyFont="1" applyBorder="1"/>
    <xf numFmtId="0" fontId="3" fillId="0" borderId="9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6" fillId="0" borderId="47" xfId="0" applyFont="1" applyBorder="1"/>
    <xf numFmtId="0" fontId="6" fillId="0" borderId="0" xfId="0" applyFont="1"/>
    <xf numFmtId="0" fontId="6" fillId="0" borderId="30" xfId="0" applyFont="1" applyBorder="1"/>
    <xf numFmtId="0" fontId="6" fillId="0" borderId="17" xfId="0" quotePrefix="1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169" fontId="18" fillId="5" borderId="86" xfId="0" applyNumberFormat="1" applyFont="1" applyFill="1" applyBorder="1" applyAlignment="1">
      <alignment horizontal="center"/>
    </xf>
    <xf numFmtId="169" fontId="18" fillId="5" borderId="87" xfId="0" applyNumberFormat="1" applyFont="1" applyFill="1" applyBorder="1" applyAlignment="1">
      <alignment horizontal="center"/>
    </xf>
    <xf numFmtId="169" fontId="18" fillId="5" borderId="88" xfId="0" applyNumberFormat="1" applyFont="1" applyFill="1" applyBorder="1" applyAlignment="1">
      <alignment horizontal="center"/>
    </xf>
    <xf numFmtId="169" fontId="18" fillId="5" borderId="86" xfId="0" applyNumberFormat="1" applyFont="1" applyFill="1" applyBorder="1"/>
    <xf numFmtId="169" fontId="18" fillId="5" borderId="89" xfId="0" applyNumberFormat="1" applyFont="1" applyFill="1" applyBorder="1"/>
    <xf numFmtId="0" fontId="6" fillId="0" borderId="90" xfId="0" quotePrefix="1" applyFont="1" applyBorder="1"/>
    <xf numFmtId="0" fontId="6" fillId="0" borderId="3" xfId="0" applyFont="1" applyBorder="1"/>
    <xf numFmtId="0" fontId="6" fillId="0" borderId="91" xfId="0" applyFont="1" applyBorder="1"/>
    <xf numFmtId="0" fontId="3" fillId="0" borderId="16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6" fillId="0" borderId="35" xfId="0" applyFont="1" applyBorder="1"/>
    <xf numFmtId="0" fontId="6" fillId="0" borderId="9" xfId="0" applyFont="1" applyBorder="1"/>
    <xf numFmtId="0" fontId="6" fillId="0" borderId="36" xfId="0" applyFont="1" applyBorder="1"/>
    <xf numFmtId="169" fontId="26" fillId="0" borderId="32" xfId="0" applyNumberFormat="1" applyFont="1" applyBorder="1"/>
    <xf numFmtId="169" fontId="26" fillId="0" borderId="16" xfId="0" applyNumberFormat="1" applyFont="1" applyBorder="1"/>
    <xf numFmtId="169" fontId="26" fillId="0" borderId="33" xfId="0" applyNumberFormat="1" applyFont="1" applyBorder="1"/>
    <xf numFmtId="169" fontId="26" fillId="0" borderId="35" xfId="0" applyNumberFormat="1" applyFont="1" applyBorder="1"/>
    <xf numFmtId="169" fontId="26" fillId="0" borderId="10" xfId="0" applyNumberFormat="1" applyFont="1" applyBorder="1"/>
    <xf numFmtId="169" fontId="26" fillId="0" borderId="36" xfId="0" applyNumberFormat="1" applyFont="1" applyBorder="1"/>
    <xf numFmtId="168" fontId="26" fillId="0" borderId="32" xfId="1" applyNumberFormat="1" applyFont="1" applyBorder="1"/>
    <xf numFmtId="168" fontId="26" fillId="0" borderId="16" xfId="1" applyNumberFormat="1" applyFont="1" applyBorder="1"/>
    <xf numFmtId="169" fontId="26" fillId="0" borderId="83" xfId="0" applyNumberFormat="1" applyFont="1" applyBorder="1"/>
    <xf numFmtId="169" fontId="26" fillId="0" borderId="84" xfId="0" applyNumberFormat="1" applyFont="1" applyBorder="1"/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43" fillId="0" borderId="79" xfId="0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/>
    </xf>
    <xf numFmtId="0" fontId="43" fillId="0" borderId="81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11" fillId="0" borderId="45" xfId="0" applyFont="1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7" xfId="0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22" fillId="0" borderId="17" xfId="0" applyFont="1" applyBorder="1" applyAlignment="1">
      <alignment horizontal="left" vertical="top" wrapText="1"/>
    </xf>
    <xf numFmtId="0" fontId="22" fillId="0" borderId="18" xfId="0" applyFont="1" applyBorder="1" applyAlignment="1">
      <alignment horizontal="left" vertical="top" wrapText="1"/>
    </xf>
    <xf numFmtId="0" fontId="22" fillId="0" borderId="19" xfId="0" applyFont="1" applyBorder="1" applyAlignment="1">
      <alignment horizontal="left" vertical="top" wrapText="1"/>
    </xf>
    <xf numFmtId="0" fontId="24" fillId="0" borderId="17" xfId="0" applyFont="1" applyBorder="1" applyAlignment="1">
      <alignment horizontal="center" vertical="top" wrapText="1"/>
    </xf>
    <xf numFmtId="0" fontId="24" fillId="0" borderId="19" xfId="0" applyFont="1" applyBorder="1" applyAlignment="1">
      <alignment horizontal="center" vertical="top" wrapText="1"/>
    </xf>
    <xf numFmtId="0" fontId="15" fillId="0" borderId="18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vertical="top" wrapText="1" indent="2"/>
    </xf>
    <xf numFmtId="0" fontId="17" fillId="0" borderId="19" xfId="0" applyFont="1" applyBorder="1" applyAlignment="1">
      <alignment horizontal="left" vertical="top" wrapText="1" indent="2"/>
    </xf>
    <xf numFmtId="0" fontId="15" fillId="0" borderId="17" xfId="0" applyFont="1" applyBorder="1" applyAlignment="1">
      <alignment horizontal="center" vertical="top" wrapText="1" readingOrder="1"/>
    </xf>
    <xf numFmtId="0" fontId="15" fillId="0" borderId="18" xfId="0" applyFont="1" applyBorder="1" applyAlignment="1">
      <alignment horizontal="center" vertical="top" wrapText="1" readingOrder="1"/>
    </xf>
    <xf numFmtId="0" fontId="15" fillId="0" borderId="19" xfId="0" applyFont="1" applyBorder="1" applyAlignment="1">
      <alignment horizontal="center" vertical="top" wrapText="1" readingOrder="1"/>
    </xf>
    <xf numFmtId="0" fontId="23" fillId="0" borderId="17" xfId="0" applyFont="1" applyBorder="1" applyAlignment="1">
      <alignment horizontal="center" vertical="top" wrapText="1" readingOrder="1"/>
    </xf>
    <xf numFmtId="0" fontId="23" fillId="0" borderId="18" xfId="0" applyFont="1" applyBorder="1" applyAlignment="1">
      <alignment horizontal="center" vertical="top" wrapText="1" readingOrder="1"/>
    </xf>
    <xf numFmtId="0" fontId="23" fillId="0" borderId="19" xfId="0" applyFont="1" applyBorder="1" applyAlignment="1">
      <alignment horizontal="center" vertical="top" wrapText="1" readingOrder="1"/>
    </xf>
    <xf numFmtId="0" fontId="17" fillId="0" borderId="17" xfId="0" applyFont="1" applyBorder="1" applyAlignment="1">
      <alignment horizontal="center" vertical="top" wrapText="1"/>
    </xf>
    <xf numFmtId="0" fontId="17" fillId="0" borderId="18" xfId="0" applyFont="1" applyBorder="1" applyAlignment="1">
      <alignment horizontal="center" vertical="top" wrapText="1"/>
    </xf>
    <xf numFmtId="0" fontId="17" fillId="0" borderId="19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24" fillId="0" borderId="18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left" vertical="top" wrapText="1" indent="2"/>
    </xf>
    <xf numFmtId="0" fontId="17" fillId="0" borderId="28" xfId="0" applyFont="1" applyBorder="1" applyAlignment="1">
      <alignment horizontal="left" vertical="top" wrapText="1" indent="2"/>
    </xf>
    <xf numFmtId="0" fontId="17" fillId="0" borderId="17" xfId="0" applyFont="1" applyBorder="1" applyAlignment="1">
      <alignment horizontal="left" vertical="top" wrapText="1"/>
    </xf>
    <xf numFmtId="0" fontId="17" fillId="0" borderId="19" xfId="0" applyFont="1" applyBorder="1" applyAlignment="1">
      <alignment horizontal="left" vertical="top" wrapText="1"/>
    </xf>
    <xf numFmtId="0" fontId="19" fillId="0" borderId="17" xfId="0" applyFont="1" applyBorder="1" applyAlignment="1">
      <alignment horizontal="left" vertical="top" wrapText="1"/>
    </xf>
    <xf numFmtId="0" fontId="19" fillId="0" borderId="18" xfId="0" applyFont="1" applyBorder="1" applyAlignment="1">
      <alignment horizontal="left" vertical="top" wrapText="1"/>
    </xf>
    <xf numFmtId="0" fontId="19" fillId="0" borderId="19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19" fillId="0" borderId="17" xfId="0" applyFont="1" applyBorder="1" applyAlignment="1">
      <alignment horizontal="center" wrapText="1"/>
    </xf>
    <xf numFmtId="0" fontId="19" fillId="0" borderId="18" xfId="0" applyFont="1" applyBorder="1" applyAlignment="1">
      <alignment horizont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right" vertical="top" wrapText="1"/>
    </xf>
    <xf numFmtId="0" fontId="24" fillId="0" borderId="18" xfId="0" applyFont="1" applyBorder="1" applyAlignment="1">
      <alignment horizontal="right" vertical="top" wrapText="1"/>
    </xf>
    <xf numFmtId="0" fontId="24" fillId="0" borderId="19" xfId="0" applyFont="1" applyBorder="1" applyAlignment="1">
      <alignment horizontal="right" vertical="top" wrapText="1"/>
    </xf>
    <xf numFmtId="166" fontId="94" fillId="0" borderId="9" xfId="0" applyNumberFormat="1" applyFont="1" applyBorder="1" applyAlignment="1">
      <alignment horizontal="center"/>
    </xf>
    <xf numFmtId="166" fontId="94" fillId="0" borderId="10" xfId="0" applyNumberFormat="1" applyFont="1" applyBorder="1" applyAlignment="1">
      <alignment horizontal="center"/>
    </xf>
    <xf numFmtId="0" fontId="15" fillId="0" borderId="17" xfId="0" applyFont="1" applyBorder="1" applyAlignment="1">
      <alignment horizontal="center" vertical="top" wrapText="1"/>
    </xf>
    <xf numFmtId="0" fontId="15" fillId="0" borderId="18" xfId="0" applyFont="1" applyBorder="1" applyAlignment="1">
      <alignment horizontal="center" vertical="top" wrapText="1"/>
    </xf>
    <xf numFmtId="0" fontId="15" fillId="0" borderId="17" xfId="0" applyFont="1" applyBorder="1" applyAlignment="1">
      <alignment horizontal="left" vertical="top" wrapText="1" readingOrder="1"/>
    </xf>
    <xf numFmtId="0" fontId="15" fillId="0" borderId="18" xfId="0" applyFont="1" applyBorder="1" applyAlignment="1">
      <alignment horizontal="left" vertical="top" wrapText="1" readingOrder="1"/>
    </xf>
    <xf numFmtId="0" fontId="15" fillId="0" borderId="19" xfId="0" applyFont="1" applyBorder="1" applyAlignment="1">
      <alignment horizontal="left" vertical="top" wrapText="1" readingOrder="1"/>
    </xf>
    <xf numFmtId="0" fontId="27" fillId="0" borderId="5" xfId="0" applyFont="1" applyBorder="1" applyAlignment="1">
      <alignment horizontal="center" vertical="top"/>
    </xf>
    <xf numFmtId="0" fontId="27" fillId="0" borderId="6" xfId="0" applyFont="1" applyBorder="1" applyAlignment="1">
      <alignment horizontal="center" vertical="top"/>
    </xf>
    <xf numFmtId="0" fontId="27" fillId="0" borderId="7" xfId="0" applyFont="1" applyBorder="1" applyAlignment="1">
      <alignment horizontal="center" vertical="top"/>
    </xf>
    <xf numFmtId="0" fontId="11" fillId="0" borderId="4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wrapText="1"/>
    </xf>
    <xf numFmtId="0" fontId="11" fillId="0" borderId="47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67" fontId="10" fillId="0" borderId="11" xfId="0" applyNumberFormat="1" applyFont="1" applyBorder="1" applyAlignment="1">
      <alignment horizontal="center"/>
    </xf>
    <xf numFmtId="167" fontId="10" fillId="0" borderId="0" xfId="0" applyNumberFormat="1" applyFont="1" applyAlignment="1">
      <alignment horizontal="center"/>
    </xf>
    <xf numFmtId="167" fontId="10" fillId="0" borderId="30" xfId="0" applyNumberFormat="1" applyFont="1" applyBorder="1" applyAlignment="1">
      <alignment horizontal="center"/>
    </xf>
    <xf numFmtId="0" fontId="90" fillId="0" borderId="9" xfId="0" applyFont="1" applyBorder="1" applyAlignment="1">
      <alignment horizontal="center" vertical="center"/>
    </xf>
    <xf numFmtId="0" fontId="90" fillId="0" borderId="36" xfId="0" applyFont="1" applyBorder="1" applyAlignment="1">
      <alignment horizontal="center" vertical="center"/>
    </xf>
    <xf numFmtId="0" fontId="62" fillId="6" borderId="101" xfId="3" applyFont="1" applyFill="1" applyBorder="1" applyAlignment="1">
      <alignment horizontal="center"/>
    </xf>
    <xf numFmtId="14" fontId="62" fillId="6" borderId="101" xfId="3" applyNumberFormat="1" applyFont="1" applyFill="1" applyBorder="1" applyAlignment="1">
      <alignment horizontal="center"/>
    </xf>
    <xf numFmtId="4" fontId="67" fillId="3" borderId="101" xfId="3" applyNumberFormat="1" applyFont="1" applyFill="1" applyBorder="1" applyAlignment="1">
      <alignment horizontal="center"/>
    </xf>
    <xf numFmtId="0" fontId="67" fillId="3" borderId="101" xfId="3" applyFont="1" applyFill="1" applyBorder="1" applyAlignment="1">
      <alignment horizontal="center"/>
    </xf>
    <xf numFmtId="0" fontId="58" fillId="6" borderId="101" xfId="3" applyFont="1" applyFill="1" applyBorder="1" applyAlignment="1">
      <alignment horizontal="center"/>
    </xf>
    <xf numFmtId="0" fontId="61" fillId="6" borderId="101" xfId="3" applyFont="1" applyFill="1" applyBorder="1" applyAlignment="1">
      <alignment horizontal="center"/>
    </xf>
    <xf numFmtId="0" fontId="58" fillId="6" borderId="102" xfId="3" applyFont="1" applyFill="1" applyBorder="1" applyAlignment="1">
      <alignment horizontal="center"/>
    </xf>
    <xf numFmtId="0" fontId="53" fillId="6" borderId="101" xfId="3" applyFont="1" applyFill="1" applyBorder="1" applyAlignment="1">
      <alignment horizontal="center" wrapText="1"/>
    </xf>
    <xf numFmtId="0" fontId="53" fillId="6" borderId="101" xfId="3" applyFont="1" applyFill="1" applyBorder="1" applyAlignment="1">
      <alignment horizontal="center"/>
    </xf>
    <xf numFmtId="0" fontId="69" fillId="6" borderId="101" xfId="3" applyFont="1" applyFill="1" applyBorder="1" applyAlignment="1">
      <alignment horizontal="center"/>
    </xf>
    <xf numFmtId="43" fontId="69" fillId="6" borderId="0" xfId="1" applyFont="1" applyFill="1" applyBorder="1" applyAlignment="1">
      <alignment horizontal="center" vertical="center"/>
    </xf>
    <xf numFmtId="0" fontId="67" fillId="7" borderId="0" xfId="3" applyFont="1" applyFill="1" applyAlignment="1">
      <alignment horizontal="center" vertical="center"/>
    </xf>
    <xf numFmtId="0" fontId="60" fillId="7" borderId="0" xfId="3" applyFont="1" applyFill="1" applyAlignment="1">
      <alignment horizontal="center" vertical="center" readingOrder="2"/>
    </xf>
    <xf numFmtId="0" fontId="60" fillId="7" borderId="0" xfId="3" applyFont="1" applyFill="1" applyAlignment="1">
      <alignment horizontal="center" vertical="center" readingOrder="1"/>
    </xf>
    <xf numFmtId="173" fontId="69" fillId="7" borderId="101" xfId="3" applyNumberFormat="1" applyFont="1" applyFill="1" applyBorder="1" applyAlignment="1">
      <alignment horizontal="center" vertical="center"/>
    </xf>
    <xf numFmtId="0" fontId="60" fillId="7" borderId="0" xfId="3" applyFont="1" applyFill="1" applyAlignment="1">
      <alignment horizontal="center" readingOrder="2"/>
    </xf>
    <xf numFmtId="0" fontId="59" fillId="7" borderId="0" xfId="3" applyFont="1" applyFill="1" applyAlignment="1">
      <alignment horizontal="center" readingOrder="1"/>
    </xf>
    <xf numFmtId="0" fontId="64" fillId="6" borderId="18" xfId="4" applyNumberFormat="1" applyFont="1" applyFill="1" applyBorder="1" applyAlignment="1">
      <alignment horizontal="left" vertical="center"/>
    </xf>
    <xf numFmtId="0" fontId="71" fillId="6" borderId="18" xfId="3" applyFont="1" applyFill="1" applyBorder="1" applyAlignment="1">
      <alignment horizontal="center" vertical="center"/>
    </xf>
    <xf numFmtId="168" fontId="71" fillId="6" borderId="18" xfId="4" applyNumberFormat="1" applyFont="1" applyFill="1" applyBorder="1" applyAlignment="1">
      <alignment horizontal="center" vertical="center"/>
    </xf>
    <xf numFmtId="2" fontId="71" fillId="6" borderId="18" xfId="4" applyNumberFormat="1" applyFont="1" applyFill="1" applyBorder="1" applyAlignment="1">
      <alignment horizontal="center" vertical="center"/>
    </xf>
    <xf numFmtId="1" fontId="72" fillId="6" borderId="18" xfId="3" applyNumberFormat="1" applyFont="1" applyFill="1" applyBorder="1" applyAlignment="1">
      <alignment horizontal="center" vertical="center"/>
    </xf>
    <xf numFmtId="0" fontId="55" fillId="6" borderId="0" xfId="3" applyFont="1" applyFill="1" applyAlignment="1">
      <alignment horizontal="center" vertical="center" readingOrder="2"/>
    </xf>
    <xf numFmtId="0" fontId="57" fillId="6" borderId="17" xfId="3" applyFont="1" applyFill="1" applyBorder="1" applyAlignment="1">
      <alignment horizontal="center" vertical="center"/>
    </xf>
    <xf numFmtId="0" fontId="57" fillId="6" borderId="18" xfId="3" applyFont="1" applyFill="1" applyBorder="1" applyAlignment="1">
      <alignment horizontal="center" vertical="center"/>
    </xf>
    <xf numFmtId="0" fontId="57" fillId="6" borderId="19" xfId="3" applyFont="1" applyFill="1" applyBorder="1" applyAlignment="1">
      <alignment horizontal="center" vertical="center"/>
    </xf>
    <xf numFmtId="0" fontId="58" fillId="6" borderId="0" xfId="3" applyFont="1" applyFill="1" applyAlignment="1">
      <alignment horizontal="center" vertical="center"/>
    </xf>
    <xf numFmtId="0" fontId="64" fillId="6" borderId="101" xfId="3" applyFont="1" applyFill="1" applyBorder="1" applyAlignment="1">
      <alignment horizontal="center"/>
    </xf>
    <xf numFmtId="0" fontId="84" fillId="0" borderId="0" xfId="0" applyFont="1" applyAlignment="1">
      <alignment horizontal="left" readingOrder="1"/>
    </xf>
    <xf numFmtId="0" fontId="79" fillId="0" borderId="17" xfId="0" applyFont="1" applyBorder="1" applyAlignment="1">
      <alignment horizontal="center"/>
    </xf>
    <xf numFmtId="0" fontId="79" fillId="0" borderId="19" xfId="0" applyFont="1" applyBorder="1" applyAlignment="1">
      <alignment horizontal="center"/>
    </xf>
    <xf numFmtId="0" fontId="0" fillId="0" borderId="0" xfId="0" applyAlignment="1">
      <alignment horizontal="right" readingOrder="2"/>
    </xf>
    <xf numFmtId="0" fontId="52" fillId="0" borderId="109" xfId="0" applyFont="1" applyBorder="1" applyAlignment="1">
      <alignment horizontal="center" vertical="center"/>
    </xf>
    <xf numFmtId="0" fontId="52" fillId="0" borderId="107" xfId="0" applyFont="1" applyBorder="1" applyAlignment="1">
      <alignment horizontal="center" vertical="center"/>
    </xf>
    <xf numFmtId="0" fontId="93" fillId="13" borderId="0" xfId="0" applyFont="1" applyFill="1" applyAlignment="1">
      <alignment horizontal="center"/>
    </xf>
    <xf numFmtId="0" fontId="97" fillId="0" borderId="59" xfId="0" applyFont="1" applyBorder="1" applyAlignment="1">
      <alignment horizontal="center" vertical="center"/>
    </xf>
    <xf numFmtId="0" fontId="97" fillId="0" borderId="77" xfId="0" applyFont="1" applyBorder="1" applyAlignment="1">
      <alignment horizontal="center" vertical="center"/>
    </xf>
    <xf numFmtId="0" fontId="97" fillId="0" borderId="60" xfId="0" applyFont="1" applyBorder="1" applyAlignment="1">
      <alignment horizontal="center" vertical="center"/>
    </xf>
    <xf numFmtId="0" fontId="97" fillId="0" borderId="125" xfId="0" applyFont="1" applyBorder="1" applyAlignment="1">
      <alignment horizontal="center"/>
    </xf>
    <xf numFmtId="0" fontId="97" fillId="0" borderId="127" xfId="0" applyFont="1" applyBorder="1" applyAlignment="1">
      <alignment horizontal="center"/>
    </xf>
    <xf numFmtId="0" fontId="97" fillId="0" borderId="128" xfId="0" applyFont="1" applyBorder="1" applyAlignment="1">
      <alignment horizontal="center"/>
    </xf>
    <xf numFmtId="9" fontId="17" fillId="0" borderId="19" xfId="0" applyNumberFormat="1" applyFont="1" applyBorder="1" applyAlignment="1">
      <alignment vertical="top" wrapText="1"/>
    </xf>
  </cellXfs>
  <cellStyles count="7">
    <cellStyle name="Milliers" xfId="1" builtinId="3"/>
    <cellStyle name="Milliers 2" xfId="4" xr:uid="{00000000-0005-0000-0000-000001000000}"/>
    <cellStyle name="Milliers 3" xfId="6" xr:uid="{00000000-0005-0000-0000-000002000000}"/>
    <cellStyle name="Normal" xfId="0" builtinId="0"/>
    <cellStyle name="Normal 2" xfId="3" xr:uid="{00000000-0005-0000-0000-000004000000}"/>
    <cellStyle name="Normal 3" xfId="5" xr:uid="{00000000-0005-0000-0000-000005000000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9</xdr:row>
      <xdr:rowOff>19050</xdr:rowOff>
    </xdr:from>
    <xdr:to>
      <xdr:col>5</xdr:col>
      <xdr:colOff>438150</xdr:colOff>
      <xdr:row>12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B7977A2-50C8-46DE-B236-7D7842CB8CCF}"/>
            </a:ext>
          </a:extLst>
        </xdr:cNvPr>
        <xdr:cNvSpPr>
          <a:spLocks noChangeShapeType="1"/>
        </xdr:cNvSpPr>
      </xdr:nvSpPr>
      <xdr:spPr bwMode="auto">
        <a:xfrm>
          <a:off x="4610100" y="1628775"/>
          <a:ext cx="0" cy="57150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47625</xdr:colOff>
      <xdr:row>13</xdr:row>
      <xdr:rowOff>0</xdr:rowOff>
    </xdr:from>
    <xdr:to>
      <xdr:col>5</xdr:col>
      <xdr:colOff>447675</xdr:colOff>
      <xdr:row>13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5B32E5E-D226-4838-BF38-5B0AC7492B36}"/>
            </a:ext>
          </a:extLst>
        </xdr:cNvPr>
        <xdr:cNvSpPr>
          <a:spLocks noChangeShapeType="1"/>
        </xdr:cNvSpPr>
      </xdr:nvSpPr>
      <xdr:spPr bwMode="auto">
        <a:xfrm flipH="1">
          <a:off x="4410075" y="2390775"/>
          <a:ext cx="2000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142875</xdr:colOff>
      <xdr:row>2</xdr:row>
      <xdr:rowOff>28575</xdr:rowOff>
    </xdr:from>
    <xdr:to>
      <xdr:col>12</xdr:col>
      <xdr:colOff>0</xdr:colOff>
      <xdr:row>10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534F7E6-27B5-491B-8216-592D009EF1C5}"/>
            </a:ext>
          </a:extLst>
        </xdr:cNvPr>
        <xdr:cNvSpPr>
          <a:spLocks noChangeArrowheads="1"/>
        </xdr:cNvSpPr>
      </xdr:nvSpPr>
      <xdr:spPr bwMode="auto">
        <a:xfrm>
          <a:off x="9763125" y="361950"/>
          <a:ext cx="1238250" cy="146685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900" b="0" i="0" strike="noStrike">
              <a:solidFill>
                <a:srgbClr val="000000"/>
              </a:solidFill>
              <a:latin typeface="Geneva"/>
            </a:rPr>
            <a:t>La présente déclaration doit être déposée à la recette des impôts dans les </a:t>
          </a:r>
          <a:r>
            <a:rPr lang="fr-FR" sz="900" b="1" i="0" strike="noStrike">
              <a:solidFill>
                <a:srgbClr val="000000"/>
              </a:solidFill>
              <a:latin typeface="Geneva"/>
            </a:rPr>
            <a:t>VINGT PREMIERS JOURS DU MOIS</a:t>
          </a: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10</xdr:col>
      <xdr:colOff>329510</xdr:colOff>
      <xdr:row>13</xdr:row>
      <xdr:rowOff>12700</xdr:rowOff>
    </xdr:to>
    <xdr:sp macro="" textlink="">
      <xdr:nvSpPr>
        <xdr:cNvPr id="5" name="Rectangle 8">
          <a:extLst>
            <a:ext uri="{FF2B5EF4-FFF2-40B4-BE49-F238E27FC236}">
              <a16:creationId xmlns:a16="http://schemas.microsoft.com/office/drawing/2014/main" id="{35D75746-BADF-4F9D-A5F0-F3F01D75E906}"/>
            </a:ext>
          </a:extLst>
        </xdr:cNvPr>
        <xdr:cNvSpPr>
          <a:spLocks noChangeArrowheads="1"/>
        </xdr:cNvSpPr>
      </xdr:nvSpPr>
      <xdr:spPr bwMode="auto">
        <a:xfrm>
          <a:off x="4800600" y="2390775"/>
          <a:ext cx="4072835" cy="127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800" b="1" i="0" strike="noStrike">
              <a:solidFill>
                <a:srgbClr val="000000"/>
              </a:solidFill>
              <a:latin typeface="Geneva"/>
            </a:rPr>
            <a:t>Déclaration établie par le Cabinet </a:t>
          </a:r>
        </a:p>
        <a:p>
          <a:pPr algn="ctr" rtl="0">
            <a:defRPr sz="1000"/>
          </a:pPr>
          <a:r>
            <a:rPr lang="fr-FR" sz="800" b="1" i="0" strike="noStrike">
              <a:solidFill>
                <a:srgbClr val="000000"/>
              </a:solidFill>
              <a:latin typeface="Geneva"/>
            </a:rPr>
            <a:t>comptable BOUHALI</a:t>
          </a:r>
        </a:p>
      </xdr:txBody>
    </xdr:sp>
    <xdr:clientData/>
  </xdr:twoCellAnchor>
  <xdr:oneCellAnchor>
    <xdr:from>
      <xdr:col>4</xdr:col>
      <xdr:colOff>665098</xdr:colOff>
      <xdr:row>26</xdr:row>
      <xdr:rowOff>47243</xdr:rowOff>
    </xdr:from>
    <xdr:ext cx="29209" cy="6350"/>
    <xdr:sp macro="" textlink="">
      <xdr:nvSpPr>
        <xdr:cNvPr id="6" name="Shape 8">
          <a:extLst>
            <a:ext uri="{FF2B5EF4-FFF2-40B4-BE49-F238E27FC236}">
              <a16:creationId xmlns:a16="http://schemas.microsoft.com/office/drawing/2014/main" id="{96E80276-D908-4480-8D95-6E37413D9A34}"/>
            </a:ext>
          </a:extLst>
        </xdr:cNvPr>
        <xdr:cNvSpPr/>
      </xdr:nvSpPr>
      <xdr:spPr>
        <a:xfrm>
          <a:off x="3827398" y="5047868"/>
          <a:ext cx="29209" cy="6350"/>
        </a:xfrm>
        <a:custGeom>
          <a:avLst/>
          <a:gdLst/>
          <a:ahLst/>
          <a:cxnLst/>
          <a:rect l="0" t="0" r="0" b="0"/>
          <a:pathLst>
            <a:path w="29209" h="6350">
              <a:moveTo>
                <a:pt x="29209" y="0"/>
              </a:moveTo>
              <a:lnTo>
                <a:pt x="0" y="0"/>
              </a:lnTo>
              <a:lnTo>
                <a:pt x="0" y="6350"/>
              </a:lnTo>
              <a:lnTo>
                <a:pt x="29209" y="6350"/>
              </a:lnTo>
              <a:lnTo>
                <a:pt x="29209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26</xdr:row>
      <xdr:rowOff>47625</xdr:rowOff>
    </xdr:from>
    <xdr:to>
      <xdr:col>6</xdr:col>
      <xdr:colOff>1102746</xdr:colOff>
      <xdr:row>28</xdr:row>
      <xdr:rowOff>47625</xdr:rowOff>
    </xdr:to>
    <xdr:sp macro="" textlink="">
      <xdr:nvSpPr>
        <xdr:cNvPr id="2" name="Rectangle 5">
          <a:extLst>
            <a:ext uri="{FF2B5EF4-FFF2-40B4-BE49-F238E27FC236}">
              <a16:creationId xmlns:a16="http://schemas.microsoft.com/office/drawing/2014/main" id="{AA631E52-1D01-4496-A339-3114A74242E7}"/>
            </a:ext>
          </a:extLst>
        </xdr:cNvPr>
        <xdr:cNvSpPr>
          <a:spLocks noChangeArrowheads="1"/>
        </xdr:cNvSpPr>
      </xdr:nvSpPr>
      <xdr:spPr bwMode="auto">
        <a:xfrm>
          <a:off x="4752975" y="4286250"/>
          <a:ext cx="1502796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fr-FR" sz="1200" b="1" i="0" strike="noStrike">
              <a:solidFill>
                <a:srgbClr val="000000"/>
              </a:solidFill>
              <a:latin typeface="Geneva"/>
            </a:rPr>
            <a:t>SOCOMIB</a:t>
          </a:r>
        </a:p>
      </xdr:txBody>
    </xdr:sp>
    <xdr:clientData/>
  </xdr:twoCellAnchor>
  <xdr:twoCellAnchor>
    <xdr:from>
      <xdr:col>5</xdr:col>
      <xdr:colOff>95250</xdr:colOff>
      <xdr:row>26</xdr:row>
      <xdr:rowOff>47625</xdr:rowOff>
    </xdr:from>
    <xdr:to>
      <xdr:col>6</xdr:col>
      <xdr:colOff>1085850</xdr:colOff>
      <xdr:row>28</xdr:row>
      <xdr:rowOff>47625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40658C51-E368-42B0-95F3-F072CAD7CC39}"/>
            </a:ext>
          </a:extLst>
        </xdr:cNvPr>
        <xdr:cNvSpPr>
          <a:spLocks noChangeArrowheads="1"/>
        </xdr:cNvSpPr>
      </xdr:nvSpPr>
      <xdr:spPr bwMode="auto">
        <a:xfrm>
          <a:off x="4752975" y="4286250"/>
          <a:ext cx="14859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95250</xdr:colOff>
      <xdr:row>30</xdr:row>
      <xdr:rowOff>0</xdr:rowOff>
    </xdr:from>
    <xdr:to>
      <xdr:col>6</xdr:col>
      <xdr:colOff>1102746</xdr:colOff>
      <xdr:row>30</xdr:row>
      <xdr:rowOff>47625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AED38BAE-046F-482F-A9A6-C05625A7ED74}"/>
            </a:ext>
          </a:extLst>
        </xdr:cNvPr>
        <xdr:cNvSpPr>
          <a:spLocks noChangeArrowheads="1"/>
        </xdr:cNvSpPr>
      </xdr:nvSpPr>
      <xdr:spPr bwMode="auto">
        <a:xfrm>
          <a:off x="4752975" y="5029200"/>
          <a:ext cx="1502796" cy="47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800" b="0" i="0" strike="noStrike">
              <a:solidFill>
                <a:srgbClr val="000000"/>
              </a:solidFill>
              <a:latin typeface="Geneva"/>
            </a:rPr>
            <a:t>Déclaration établie par le Cabinet comptable BOUHALI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464820</xdr:colOff>
          <xdr:row>0</xdr:row>
          <xdr:rowOff>7620</xdr:rowOff>
        </xdr:from>
        <xdr:to>
          <xdr:col>1</xdr:col>
          <xdr:colOff>723900</xdr:colOff>
          <xdr:row>0</xdr:row>
          <xdr:rowOff>106680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Geneva"/>
                </a:rPr>
                <a:t>Zoom 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0</xdr:row>
          <xdr:rowOff>7620</xdr:rowOff>
        </xdr:from>
        <xdr:to>
          <xdr:col>2</xdr:col>
          <xdr:colOff>312420</xdr:colOff>
          <xdr:row>0</xdr:row>
          <xdr:rowOff>106680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Geneva"/>
                </a:rPr>
                <a:t>Zoom -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480060</xdr:colOff>
          <xdr:row>0</xdr:row>
          <xdr:rowOff>7620</xdr:rowOff>
        </xdr:from>
        <xdr:to>
          <xdr:col>3</xdr:col>
          <xdr:colOff>312420</xdr:colOff>
          <xdr:row>0</xdr:row>
          <xdr:rowOff>106680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800" b="1" i="0" u="none" strike="noStrike" baseline="0">
                  <a:solidFill>
                    <a:srgbClr val="000080"/>
                  </a:solidFill>
                  <a:latin typeface="Geneva"/>
                </a:rPr>
                <a:t>DCL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160020</xdr:colOff>
          <xdr:row>0</xdr:row>
          <xdr:rowOff>7620</xdr:rowOff>
        </xdr:from>
        <xdr:to>
          <xdr:col>4</xdr:col>
          <xdr:colOff>419100</xdr:colOff>
          <xdr:row>0</xdr:row>
          <xdr:rowOff>114300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800" b="1" i="0" u="none" strike="noStrike" baseline="0">
                  <a:solidFill>
                    <a:srgbClr val="000080"/>
                  </a:solidFill>
                  <a:latin typeface="Geneva"/>
                </a:rPr>
                <a:t>Fermer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36</xdr:row>
      <xdr:rowOff>114300</xdr:rowOff>
    </xdr:from>
    <xdr:to>
      <xdr:col>6</xdr:col>
      <xdr:colOff>28575</xdr:colOff>
      <xdr:row>36</xdr:row>
      <xdr:rowOff>114300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74F199B-656E-475A-860D-2B0375E8BF5F}"/>
            </a:ext>
          </a:extLst>
        </xdr:cNvPr>
        <xdr:cNvSpPr>
          <a:spLocks noChangeShapeType="1"/>
        </xdr:cNvSpPr>
      </xdr:nvSpPr>
      <xdr:spPr bwMode="auto">
        <a:xfrm>
          <a:off x="4524375" y="6324600"/>
          <a:ext cx="1619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180975</xdr:colOff>
      <xdr:row>36</xdr:row>
      <xdr:rowOff>114300</xdr:rowOff>
    </xdr:from>
    <xdr:to>
      <xdr:col>5</xdr:col>
      <xdr:colOff>180975</xdr:colOff>
      <xdr:row>38</xdr:row>
      <xdr:rowOff>133350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D536F9F-5E43-4539-BE50-D202C7FB3606}"/>
            </a:ext>
          </a:extLst>
        </xdr:cNvPr>
        <xdr:cNvSpPr>
          <a:spLocks noChangeShapeType="1"/>
        </xdr:cNvSpPr>
      </xdr:nvSpPr>
      <xdr:spPr bwMode="auto">
        <a:xfrm>
          <a:off x="4524375" y="6324600"/>
          <a:ext cx="0" cy="390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38</xdr:row>
      <xdr:rowOff>133350</xdr:rowOff>
    </xdr:from>
    <xdr:to>
      <xdr:col>5</xdr:col>
      <xdr:colOff>190500</xdr:colOff>
      <xdr:row>38</xdr:row>
      <xdr:rowOff>133350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CEC2075B-952B-41CF-8F74-E244190D116B}"/>
            </a:ext>
          </a:extLst>
        </xdr:cNvPr>
        <xdr:cNvSpPr>
          <a:spLocks noChangeShapeType="1"/>
        </xdr:cNvSpPr>
      </xdr:nvSpPr>
      <xdr:spPr bwMode="auto">
        <a:xfrm flipV="1">
          <a:off x="4343400" y="6715125"/>
          <a:ext cx="1905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685C6301-7493-4E28-BB45-B3571BCCBB50}"/>
            </a:ext>
          </a:extLst>
        </xdr:cNvPr>
        <xdr:cNvSpPr>
          <a:spLocks noChangeShapeType="1"/>
        </xdr:cNvSpPr>
      </xdr:nvSpPr>
      <xdr:spPr bwMode="auto">
        <a:xfrm flipV="1">
          <a:off x="8058150" y="5324475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31</xdr:row>
      <xdr:rowOff>0</xdr:rowOff>
    </xdr:from>
    <xdr:to>
      <xdr:col>12</xdr:col>
      <xdr:colOff>0</xdr:colOff>
      <xdr:row>33</xdr:row>
      <xdr:rowOff>161925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535BA511-B737-464B-A7D1-D1C9360AC4A6}"/>
            </a:ext>
          </a:extLst>
        </xdr:cNvPr>
        <xdr:cNvSpPr>
          <a:spLocks noChangeShapeType="1"/>
        </xdr:cNvSpPr>
      </xdr:nvSpPr>
      <xdr:spPr bwMode="auto">
        <a:xfrm>
          <a:off x="8058150" y="5324475"/>
          <a:ext cx="0" cy="5048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1485900</xdr:colOff>
      <xdr:row>33</xdr:row>
      <xdr:rowOff>152400</xdr:rowOff>
    </xdr:from>
    <xdr:to>
      <xdr:col>12</xdr:col>
      <xdr:colOff>0</xdr:colOff>
      <xdr:row>33</xdr:row>
      <xdr:rowOff>152400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6F9B17FE-EE63-4189-9FA8-6127FCD6FB43}"/>
            </a:ext>
          </a:extLst>
        </xdr:cNvPr>
        <xdr:cNvSpPr>
          <a:spLocks noChangeShapeType="1"/>
        </xdr:cNvSpPr>
      </xdr:nvSpPr>
      <xdr:spPr bwMode="auto">
        <a:xfrm flipH="1" flipV="1">
          <a:off x="8058150" y="5819775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2383155</xdr:colOff>
      <xdr:row>42</xdr:row>
      <xdr:rowOff>0</xdr:rowOff>
    </xdr:from>
    <xdr:to>
      <xdr:col>9</xdr:col>
      <xdr:colOff>425397</xdr:colOff>
      <xdr:row>42</xdr:row>
      <xdr:rowOff>28575</xdr:rowOff>
    </xdr:to>
    <xdr:sp macro="" textlink="">
      <xdr:nvSpPr>
        <xdr:cNvPr id="8" name="Rectangle 11">
          <a:extLst>
            <a:ext uri="{FF2B5EF4-FFF2-40B4-BE49-F238E27FC236}">
              <a16:creationId xmlns:a16="http://schemas.microsoft.com/office/drawing/2014/main" id="{FD73829B-FB66-43E0-98F6-DE4488075285}"/>
            </a:ext>
          </a:extLst>
        </xdr:cNvPr>
        <xdr:cNvSpPr>
          <a:spLocks noChangeArrowheads="1"/>
        </xdr:cNvSpPr>
      </xdr:nvSpPr>
      <xdr:spPr bwMode="auto">
        <a:xfrm>
          <a:off x="3192780" y="7286625"/>
          <a:ext cx="3709617" cy="28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800" b="0" i="0" strike="noStrike">
              <a:solidFill>
                <a:srgbClr val="000000"/>
              </a:solidFill>
              <a:latin typeface="Geneva"/>
            </a:rPr>
            <a:t>Déclaration établie par le Cabinet comptable BOUHALI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0</xdr:row>
          <xdr:rowOff>38100</xdr:rowOff>
        </xdr:from>
        <xdr:to>
          <xdr:col>1</xdr:col>
          <xdr:colOff>518160</xdr:colOff>
          <xdr:row>1</xdr:row>
          <xdr:rowOff>22860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800" b="1" i="0" u="none" strike="noStrike" baseline="0">
                  <a:solidFill>
                    <a:srgbClr val="000080"/>
                  </a:solidFill>
                  <a:latin typeface="Geneva"/>
                </a:rPr>
                <a:t>DCL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1287780</xdr:colOff>
          <xdr:row>39</xdr:row>
          <xdr:rowOff>45720</xdr:rowOff>
        </xdr:from>
        <xdr:to>
          <xdr:col>2</xdr:col>
          <xdr:colOff>1889760</xdr:colOff>
          <xdr:row>40</xdr:row>
          <xdr:rowOff>30480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800" b="1" i="0" u="none" strike="noStrike" baseline="0">
                  <a:solidFill>
                    <a:srgbClr val="000080"/>
                  </a:solidFill>
                  <a:latin typeface="Geneva"/>
                </a:rPr>
                <a:t>DCL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2026920</xdr:colOff>
          <xdr:row>39</xdr:row>
          <xdr:rowOff>38100</xdr:rowOff>
        </xdr:from>
        <xdr:to>
          <xdr:col>3</xdr:col>
          <xdr:colOff>0</xdr:colOff>
          <xdr:row>40</xdr:row>
          <xdr:rowOff>30480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800" b="1" i="0" u="none" strike="noStrike" baseline="0">
                  <a:solidFill>
                    <a:srgbClr val="000080"/>
                  </a:solidFill>
                  <a:latin typeface="Geneva"/>
                </a:rPr>
                <a:t>Fermer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480060</xdr:colOff>
          <xdr:row>0</xdr:row>
          <xdr:rowOff>38100</xdr:rowOff>
        </xdr:from>
        <xdr:to>
          <xdr:col>2</xdr:col>
          <xdr:colOff>220980</xdr:colOff>
          <xdr:row>1</xdr:row>
          <xdr:rowOff>22860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fr-FR" sz="800" b="1" i="0" u="none" strike="noStrike" baseline="0">
                  <a:solidFill>
                    <a:srgbClr val="000080"/>
                  </a:solidFill>
                  <a:latin typeface="Geneva"/>
                </a:rPr>
                <a:t>Fermer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36</xdr:row>
      <xdr:rowOff>19049</xdr:rowOff>
    </xdr:from>
    <xdr:to>
      <xdr:col>100</xdr:col>
      <xdr:colOff>133351</xdr:colOff>
      <xdr:row>43</xdr:row>
      <xdr:rowOff>171450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ACF28660-CCB1-4A7D-931F-861F13DA5366}"/>
            </a:ext>
          </a:extLst>
        </xdr:cNvPr>
        <xdr:cNvSpPr/>
      </xdr:nvSpPr>
      <xdr:spPr>
        <a:xfrm>
          <a:off x="295276" y="7153274"/>
          <a:ext cx="11906250" cy="1352551"/>
        </a:xfrm>
        <a:prstGeom prst="round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fr-F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udji\c\DIVER%20TABLEAU\Documents%20and%20Settings\ARIM1\Mes%20documents\G50%202006\Imprim&#233;G50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HP/Desktop/G50-ETAT%20104-DIVERS%20G/ETATS%20IMPOTS%20DES%20CLIENTS%20G50-TVA/CLIENTS%20TVA%20-G50/HAGOUG%20MOHAMED/HAGOUG%20MOHAMED2025/05-MAI-G50-2025%20HAGOUG.xlsx" TargetMode="External"/><Relationship Id="rId2" Type="http://schemas.openxmlformats.org/officeDocument/2006/relationships/externalLinkPath" Target="file:///C:\Users\HP\Desktop\G50-ETAT%20104-DIVERS%20G\ETATS%20IMPOTS%20DES%20CLIENTS%20G50-TVA\CLIENTS%20TVA%20-G50\HAGOUG%20MOHAMED\HAGOUG%20MOHAMED2025\05-MAI-G50-2025%20HAGOUG.xlsx" TargetMode="External"/><Relationship Id="rId1" Type="http://schemas.openxmlformats.org/officeDocument/2006/relationships/externalLinkPath" Target="/Users/HP/Desktop/G50-ETAT%20104-DIVERS%20G/ETATS%20IMPOTS%20DES%20CLIENTS%20G50-TVA/CLIENTS%20TVA%20-G50/HAGOUG%20MOHAMED/HAGOUG%20MOHAMED2025/05-MAI-G50-2025%20HAGOU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7ana/Desktop/G50-ETAT%20104-DIVERS%20G-2024/ETATS%20IMPOTS%20DES%20CLIENTS%20G50-TVA/ETATS%20CLIENTS%20TVA%20-G50/SARL%20KAYA%20SBA-ORAN/SARL%20KAYA%20SBA-G50-2025/ETAT%20DES%20FOURNISSEURS%20.xlsx%20&#183;%20SARL%20KAYA%20SBA-ORAN.xlsx" TargetMode="External"/><Relationship Id="rId1" Type="http://schemas.openxmlformats.org/officeDocument/2006/relationships/externalLinkPath" Target="/Users/7ana/Desktop/G50-ETAT%20104-DIVERS%20G-2024/ETATS%20IMPOTS%20DES%20CLIENTS%20G50-TVA/ETATS%20CLIENTS%20TVA%20-G50/SARL%20KAYA%20SBA-ORAN/SARL%20KAYA%20SBA-G50-2025/ETAT%20DES%20FOURNISSEURS%20.xlsx%20&#183;%20SARL%20KAYA%20SBA-OR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-client"/>
      <sheetName val="Saisie-chiffres"/>
      <sheetName val="Recap-TVA"/>
      <sheetName val="G.50-1"/>
      <sheetName val="G.50-2"/>
      <sheetName val="G.50-3"/>
      <sheetName val="m_div"/>
      <sheetName val="Rs"/>
      <sheetName val="Ref"/>
      <sheetName val="ImpriméG50"/>
    </sheetNames>
    <definedNames>
      <definedName name="afficheDCL"/>
      <definedName name="Afficher_id"/>
      <definedName name="ZommMoins"/>
      <definedName name="ZommPlus"/>
    </definedNames>
    <sheetDataSet>
      <sheetData sheetId="0" refreshError="1"/>
      <sheetData sheetId="1" refreshError="1">
        <row r="3">
          <cell r="B3">
            <v>3</v>
          </cell>
        </row>
        <row r="74">
          <cell r="D74" t="str">
            <v>Timbre de quittances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ATEUR NADIR"/>
      <sheetName val="G.50-1"/>
      <sheetName val="G.50-02"/>
      <sheetName val="G.50-3"/>
      <sheetName val="G.50-4"/>
      <sheetName val="TVA  A RECUPERER"/>
      <sheetName val="G50-01"/>
      <sheetName val="G50-02"/>
      <sheetName val="G50-03"/>
      <sheetName val="G50-04"/>
      <sheetName val="ETAT FOURNISSEURS"/>
      <sheetName val="CA-2025"/>
    </sheetNames>
    <sheetDataSet>
      <sheetData sheetId="0"/>
      <sheetData sheetId="1">
        <row r="3">
          <cell r="E3" t="str">
            <v>2025</v>
          </cell>
        </row>
        <row r="12">
          <cell r="A12">
            <v>0</v>
          </cell>
        </row>
      </sheetData>
      <sheetData sheetId="2"/>
      <sheetData sheetId="3"/>
      <sheetData sheetId="4">
        <row r="38">
          <cell r="L38">
            <v>2147</v>
          </cell>
        </row>
      </sheetData>
      <sheetData sheetId="5">
        <row r="16">
          <cell r="G16">
            <v>190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isie-client"/>
      <sheetName val="P-G ETAT D'ch"/>
      <sheetName val="m_div"/>
      <sheetName val="Rs"/>
      <sheetName val="Ref"/>
      <sheetName val="ETAT_D'ch"/>
    </sheetNames>
    <sheetDataSet>
      <sheetData sheetId="0">
        <row r="4">
          <cell r="C4" t="str">
            <v>SARL KAYA SBA-ORAN</v>
          </cell>
        </row>
        <row r="7">
          <cell r="C7" t="str">
            <v>SIDI BEL ABBES</v>
          </cell>
        </row>
        <row r="10">
          <cell r="C10" t="str">
            <v>SBA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O46"/>
  <sheetViews>
    <sheetView topLeftCell="D1" zoomScaleNormal="100" workbookViewId="0">
      <selection activeCell="L33" sqref="L33"/>
    </sheetView>
  </sheetViews>
  <sheetFormatPr baseColWidth="10" defaultColWidth="11.44140625" defaultRowHeight="14.4"/>
  <cols>
    <col min="1" max="1" width="7.6640625" customWidth="1"/>
    <col min="2" max="2" width="4.5546875" customWidth="1"/>
    <col min="3" max="3" width="28.33203125" customWidth="1"/>
    <col min="4" max="4" width="6.88671875" customWidth="1"/>
    <col min="5" max="5" width="18" customWidth="1"/>
    <col min="6" max="6" width="3.6640625" customWidth="1"/>
    <col min="7" max="7" width="2.88671875" customWidth="1"/>
    <col min="8" max="8" width="7.6640625" customWidth="1"/>
    <col min="9" max="9" width="20" customWidth="1"/>
    <col min="10" max="10" width="28.44140625" customWidth="1"/>
    <col min="11" max="11" width="16.109375" customWidth="1"/>
    <col min="12" max="12" width="26.33203125" customWidth="1"/>
    <col min="14" max="14" width="2.33203125" customWidth="1"/>
    <col min="15" max="15" width="11.44140625" hidden="1" customWidth="1"/>
  </cols>
  <sheetData>
    <row r="2" spans="1:12" ht="13.5" customHeight="1" thickBot="1">
      <c r="L2" s="1" t="s">
        <v>0</v>
      </c>
    </row>
    <row r="3" spans="1:12" ht="14.25" customHeight="1">
      <c r="A3" s="2" t="s">
        <v>1</v>
      </c>
      <c r="B3" s="3"/>
      <c r="C3" s="4"/>
      <c r="D3" s="5" t="s">
        <v>2</v>
      </c>
      <c r="E3" s="6" t="s">
        <v>330</v>
      </c>
      <c r="F3" s="7"/>
      <c r="H3" s="8" t="s">
        <v>3</v>
      </c>
      <c r="I3" s="9"/>
      <c r="J3" s="9"/>
      <c r="K3" s="10"/>
    </row>
    <row r="4" spans="1:12" ht="12.9" customHeight="1">
      <c r="B4" s="11" t="s">
        <v>4</v>
      </c>
      <c r="D4" s="12"/>
      <c r="E4" s="13"/>
      <c r="F4" s="14"/>
      <c r="H4" s="15" t="s">
        <v>5</v>
      </c>
      <c r="I4" s="16"/>
      <c r="J4" s="16"/>
      <c r="K4" s="17"/>
    </row>
    <row r="5" spans="1:12" ht="19.5" customHeight="1" thickBot="1">
      <c r="A5" s="18" t="s">
        <v>6</v>
      </c>
      <c r="B5" s="19" t="s">
        <v>7</v>
      </c>
      <c r="C5" s="20"/>
      <c r="D5" s="21" t="s">
        <v>8</v>
      </c>
      <c r="E5" s="685" t="s">
        <v>110</v>
      </c>
      <c r="F5" s="686"/>
      <c r="H5" s="22" t="s">
        <v>9</v>
      </c>
      <c r="I5" s="23"/>
      <c r="J5" s="23"/>
      <c r="K5" s="24"/>
    </row>
    <row r="6" spans="1:12" ht="12.9" customHeight="1" thickBot="1">
      <c r="B6" s="25" t="s">
        <v>10</v>
      </c>
      <c r="C6" s="4"/>
      <c r="D6" s="26" t="s">
        <v>11</v>
      </c>
      <c r="E6" s="27"/>
      <c r="F6" s="28"/>
    </row>
    <row r="7" spans="1:12" ht="14.25" customHeight="1" thickBot="1">
      <c r="A7" t="s">
        <v>12</v>
      </c>
      <c r="B7" s="29" t="s">
        <v>13</v>
      </c>
      <c r="C7" s="30" t="s">
        <v>7</v>
      </c>
      <c r="H7" s="31" t="s">
        <v>14</v>
      </c>
      <c r="I7" s="342" t="s">
        <v>248</v>
      </c>
      <c r="J7" s="32"/>
      <c r="K7" s="10"/>
    </row>
    <row r="8" spans="1:12" ht="10.5" customHeight="1">
      <c r="B8" s="25" t="s">
        <v>15</v>
      </c>
      <c r="C8" s="4"/>
      <c r="D8" s="33" t="s">
        <v>16</v>
      </c>
      <c r="E8" s="34"/>
      <c r="F8" s="35"/>
      <c r="G8" s="36"/>
      <c r="H8" s="37"/>
      <c r="I8" s="38"/>
      <c r="J8" s="38"/>
      <c r="K8" s="39"/>
    </row>
    <row r="9" spans="1:12" ht="15" customHeight="1" thickBot="1">
      <c r="A9" t="s">
        <v>12</v>
      </c>
      <c r="B9" s="29" t="s">
        <v>13</v>
      </c>
      <c r="C9" s="40" t="s">
        <v>7</v>
      </c>
      <c r="D9" s="41" t="s">
        <v>17</v>
      </c>
      <c r="E9" s="42"/>
      <c r="F9" s="43"/>
      <c r="H9" s="44" t="s">
        <v>18</v>
      </c>
      <c r="I9" s="348" t="s">
        <v>250</v>
      </c>
      <c r="J9" s="348"/>
      <c r="K9" s="349"/>
      <c r="L9" s="350"/>
    </row>
    <row r="10" spans="1:12" ht="15" customHeight="1">
      <c r="A10" s="2" t="s">
        <v>19</v>
      </c>
      <c r="B10" s="45"/>
      <c r="H10" s="44" t="s">
        <v>20</v>
      </c>
      <c r="I10" s="351" t="s">
        <v>252</v>
      </c>
      <c r="J10" s="352"/>
      <c r="K10" s="343"/>
    </row>
    <row r="11" spans="1:12" ht="17.25" customHeight="1" thickBot="1">
      <c r="A11" s="47"/>
      <c r="B11" s="48"/>
      <c r="C11" s="487">
        <v>1976310200025830</v>
      </c>
      <c r="D11" s="49" t="s">
        <v>21</v>
      </c>
      <c r="H11" s="50"/>
      <c r="I11" s="51"/>
      <c r="J11" s="52" t="s">
        <v>7</v>
      </c>
      <c r="K11" s="53"/>
      <c r="L11" s="54" t="s">
        <v>22</v>
      </c>
    </row>
    <row r="12" spans="1:12">
      <c r="A12" s="47"/>
      <c r="B12" s="48"/>
      <c r="C12" s="488">
        <v>2245000012</v>
      </c>
      <c r="D12" s="49" t="s">
        <v>23</v>
      </c>
      <c r="I12" s="55"/>
      <c r="L12" s="56"/>
    </row>
    <row r="13" spans="1:12">
      <c r="A13" s="57"/>
      <c r="B13" s="58"/>
      <c r="C13" s="489">
        <v>10000036242</v>
      </c>
      <c r="D13" s="59" t="s">
        <v>24</v>
      </c>
      <c r="E13" s="59"/>
      <c r="I13" s="55"/>
      <c r="J13" s="60"/>
      <c r="L13" s="25"/>
    </row>
    <row r="14" spans="1:12" ht="5.25" customHeight="1"/>
    <row r="15" spans="1:12" ht="12.75" customHeight="1" thickBot="1">
      <c r="A15" s="687" t="s">
        <v>25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</row>
    <row r="16" spans="1:12" ht="30.75" customHeight="1">
      <c r="A16" s="61" t="s">
        <v>26</v>
      </c>
      <c r="B16" s="689" t="s">
        <v>27</v>
      </c>
      <c r="C16" s="690"/>
      <c r="D16" s="690"/>
      <c r="E16" s="690"/>
      <c r="F16" s="690"/>
      <c r="G16" s="690"/>
      <c r="H16" s="691"/>
      <c r="I16" s="653" t="s">
        <v>28</v>
      </c>
      <c r="J16" s="654"/>
      <c r="K16" s="655"/>
      <c r="L16" s="63" t="s">
        <v>29</v>
      </c>
    </row>
    <row r="17" spans="1:12" ht="18.75" customHeight="1">
      <c r="A17" s="64" t="s">
        <v>30</v>
      </c>
      <c r="B17" s="668" t="s">
        <v>247</v>
      </c>
      <c r="C17" s="673"/>
      <c r="D17" s="673"/>
      <c r="E17" s="673"/>
      <c r="F17" s="673"/>
      <c r="G17" s="673"/>
      <c r="H17" s="669"/>
      <c r="I17" s="659"/>
      <c r="J17" s="660"/>
      <c r="K17" s="661"/>
      <c r="L17" s="66">
        <v>0</v>
      </c>
    </row>
    <row r="18" spans="1:12" ht="12.75" customHeight="1">
      <c r="A18" s="67"/>
      <c r="B18" s="668" t="s">
        <v>31</v>
      </c>
      <c r="C18" s="673"/>
      <c r="D18" s="673"/>
      <c r="E18" s="673"/>
      <c r="F18" s="673"/>
      <c r="G18" s="673"/>
      <c r="H18" s="669"/>
      <c r="I18" s="659"/>
      <c r="J18" s="660"/>
      <c r="K18" s="661"/>
      <c r="L18" s="68"/>
    </row>
    <row r="19" spans="1:12" ht="12.9" customHeight="1">
      <c r="A19" s="67"/>
      <c r="B19" s="668" t="s">
        <v>32</v>
      </c>
      <c r="C19" s="673"/>
      <c r="D19" s="673"/>
      <c r="E19" s="673"/>
      <c r="F19" s="673"/>
      <c r="G19" s="673"/>
      <c r="H19" s="669"/>
      <c r="I19" s="682"/>
      <c r="J19" s="683"/>
      <c r="K19" s="684"/>
      <c r="L19" s="326">
        <f>I19*30%</f>
        <v>0</v>
      </c>
    </row>
    <row r="20" spans="1:12" ht="12.9" customHeight="1">
      <c r="A20" s="67"/>
      <c r="B20" s="668" t="s">
        <v>33</v>
      </c>
      <c r="C20" s="673"/>
      <c r="D20" s="673"/>
      <c r="E20" s="673"/>
      <c r="F20" s="673"/>
      <c r="G20" s="673"/>
      <c r="H20" s="669"/>
      <c r="I20" s="659"/>
      <c r="J20" s="660"/>
      <c r="K20" s="661"/>
      <c r="L20" s="70"/>
    </row>
    <row r="21" spans="1:12" ht="15" customHeight="1" thickBot="1">
      <c r="A21" s="71">
        <v>1</v>
      </c>
      <c r="B21" s="674" t="s">
        <v>34</v>
      </c>
      <c r="C21" s="675"/>
      <c r="D21" s="675"/>
      <c r="E21" s="675"/>
      <c r="F21" s="675"/>
      <c r="G21" s="676"/>
      <c r="H21" s="676"/>
      <c r="I21" s="676"/>
      <c r="J21" s="676"/>
      <c r="K21" s="72"/>
      <c r="L21" s="530">
        <f>SUM(L17:L20)</f>
        <v>0</v>
      </c>
    </row>
    <row r="22" spans="1:12" ht="12.9" customHeight="1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6"/>
      <c r="L22" s="340"/>
    </row>
    <row r="23" spans="1:12" ht="12.9" hidden="1" customHeight="1">
      <c r="A23" s="677"/>
      <c r="B23" s="678"/>
      <c r="C23" s="678"/>
      <c r="D23" s="678"/>
      <c r="E23" s="678"/>
      <c r="F23" s="678"/>
      <c r="G23" s="678"/>
      <c r="H23" s="678"/>
      <c r="I23" s="678"/>
      <c r="J23" s="678"/>
      <c r="K23" s="678"/>
      <c r="L23" s="678"/>
    </row>
    <row r="24" spans="1:12" ht="15" customHeight="1" thickBot="1">
      <c r="A24" s="77"/>
      <c r="B24" s="78"/>
      <c r="C24" s="679" t="s">
        <v>35</v>
      </c>
      <c r="D24" s="680"/>
      <c r="E24" s="680"/>
      <c r="F24" s="680"/>
      <c r="G24" s="680"/>
      <c r="H24" s="680"/>
      <c r="I24" s="680"/>
      <c r="J24" s="680"/>
      <c r="K24" s="680"/>
      <c r="L24" s="681"/>
    </row>
    <row r="25" spans="1:12" ht="25.5" customHeight="1">
      <c r="A25" s="651" t="s">
        <v>26</v>
      </c>
      <c r="B25" s="652"/>
      <c r="C25" s="653" t="s">
        <v>36</v>
      </c>
      <c r="D25" s="654"/>
      <c r="E25" s="654"/>
      <c r="F25" s="654"/>
      <c r="G25" s="655"/>
      <c r="H25" s="62"/>
      <c r="I25" s="656" t="s">
        <v>37</v>
      </c>
      <c r="J25" s="658"/>
      <c r="K25" s="79" t="s">
        <v>38</v>
      </c>
      <c r="L25" s="63" t="s">
        <v>39</v>
      </c>
    </row>
    <row r="26" spans="1:12" ht="31.5" customHeight="1">
      <c r="A26" s="668" t="s">
        <v>40</v>
      </c>
      <c r="B26" s="669"/>
      <c r="C26" s="670" t="s">
        <v>41</v>
      </c>
      <c r="D26" s="671"/>
      <c r="E26" s="671"/>
      <c r="F26" s="671"/>
      <c r="G26" s="671"/>
      <c r="H26" s="672"/>
      <c r="I26" s="659"/>
      <c r="J26" s="661"/>
      <c r="K26" s="80" t="s">
        <v>42</v>
      </c>
      <c r="L26" s="73"/>
    </row>
    <row r="27" spans="1:12" ht="32.25" customHeight="1">
      <c r="A27" s="668" t="s">
        <v>43</v>
      </c>
      <c r="B27" s="669"/>
      <c r="C27" s="668" t="s">
        <v>44</v>
      </c>
      <c r="D27" s="673"/>
      <c r="E27" s="673"/>
      <c r="F27" s="673"/>
      <c r="G27" s="673"/>
      <c r="H27" s="669"/>
      <c r="I27" s="659"/>
      <c r="J27" s="661"/>
      <c r="K27" s="80" t="s">
        <v>42</v>
      </c>
      <c r="L27" s="73"/>
    </row>
    <row r="28" spans="1:12" ht="25.5" customHeight="1" thickBot="1">
      <c r="A28" s="71">
        <v>2</v>
      </c>
      <c r="B28" s="645" t="s">
        <v>45</v>
      </c>
      <c r="C28" s="646"/>
      <c r="D28" s="646"/>
      <c r="E28" s="646"/>
      <c r="F28" s="646"/>
      <c r="G28" s="646"/>
      <c r="H28" s="647"/>
      <c r="I28" s="648" t="s">
        <v>34</v>
      </c>
      <c r="J28" s="649"/>
      <c r="K28" s="649"/>
      <c r="L28" s="73"/>
    </row>
    <row r="29" spans="1:12" ht="14.2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</row>
    <row r="30" spans="1:12" ht="12.75" customHeight="1" thickBot="1">
      <c r="A30" s="82"/>
      <c r="B30" s="83"/>
      <c r="C30" s="650" t="s">
        <v>46</v>
      </c>
      <c r="D30" s="650"/>
      <c r="E30" s="650"/>
      <c r="F30" s="650"/>
      <c r="G30" s="650"/>
      <c r="H30" s="650"/>
      <c r="I30" s="650"/>
      <c r="J30" s="650"/>
      <c r="K30" s="650"/>
      <c r="L30" s="84"/>
    </row>
    <row r="31" spans="1:12" ht="25.5" customHeight="1">
      <c r="A31" s="651" t="s">
        <v>26</v>
      </c>
      <c r="B31" s="652"/>
      <c r="C31" s="653" t="s">
        <v>47</v>
      </c>
      <c r="D31" s="654"/>
      <c r="E31" s="654"/>
      <c r="F31" s="654"/>
      <c r="G31" s="655"/>
      <c r="H31" s="656" t="s">
        <v>48</v>
      </c>
      <c r="I31" s="657"/>
      <c r="J31" s="657"/>
      <c r="K31" s="658"/>
      <c r="L31" s="63" t="s">
        <v>39</v>
      </c>
    </row>
    <row r="32" spans="1:12" ht="19.5" customHeight="1">
      <c r="A32" s="64"/>
      <c r="B32" s="659" t="s">
        <v>246</v>
      </c>
      <c r="C32" s="660"/>
      <c r="D32" s="660"/>
      <c r="E32" s="660"/>
      <c r="F32" s="660"/>
      <c r="G32" s="661"/>
      <c r="H32" s="80"/>
      <c r="I32" s="85" t="s">
        <v>340</v>
      </c>
      <c r="J32" s="344">
        <v>702522</v>
      </c>
      <c r="K32" s="752">
        <v>0.3</v>
      </c>
      <c r="L32" s="338">
        <f>+J32*K32</f>
        <v>210756.6</v>
      </c>
    </row>
    <row r="33" spans="1:12" ht="14.25" customHeight="1">
      <c r="A33" s="67"/>
      <c r="B33" s="659" t="s">
        <v>49</v>
      </c>
      <c r="C33" s="660"/>
      <c r="D33" s="660"/>
      <c r="E33" s="660"/>
      <c r="F33" s="660"/>
      <c r="G33" s="661"/>
      <c r="H33" s="80"/>
      <c r="I33" s="85"/>
      <c r="J33" s="85"/>
      <c r="K33" s="86"/>
      <c r="L33" s="339"/>
    </row>
    <row r="34" spans="1:12" ht="20.25" customHeight="1" thickBot="1">
      <c r="A34" s="71">
        <v>3</v>
      </c>
      <c r="B34" s="662" t="s">
        <v>34</v>
      </c>
      <c r="C34" s="663"/>
      <c r="D34" s="663"/>
      <c r="E34" s="663"/>
      <c r="F34" s="663"/>
      <c r="G34" s="663"/>
      <c r="H34" s="663"/>
      <c r="I34" s="663"/>
      <c r="J34" s="663"/>
      <c r="K34" s="664"/>
      <c r="L34" s="341">
        <f>+L32</f>
        <v>210756.6</v>
      </c>
    </row>
    <row r="35" spans="1:12" ht="20.25" customHeight="1">
      <c r="A35" s="88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65"/>
    </row>
    <row r="36" spans="1:12" ht="13.95" customHeight="1" thickBot="1">
      <c r="A36" s="648" t="s">
        <v>50</v>
      </c>
      <c r="B36" s="665"/>
      <c r="C36" s="665"/>
      <c r="D36" s="665"/>
      <c r="E36" s="665"/>
      <c r="F36" s="665"/>
      <c r="G36" s="665"/>
      <c r="H36" s="665"/>
      <c r="I36" s="649"/>
      <c r="J36" s="665"/>
      <c r="K36" s="649"/>
    </row>
    <row r="37" spans="1:12" ht="23.25" customHeight="1">
      <c r="A37" s="666" t="s">
        <v>51</v>
      </c>
      <c r="B37" s="667"/>
      <c r="C37" s="89"/>
      <c r="D37" s="90" t="s">
        <v>52</v>
      </c>
      <c r="E37" s="91"/>
      <c r="F37" s="91"/>
      <c r="G37" s="91"/>
      <c r="H37" s="91"/>
      <c r="I37" s="92"/>
      <c r="J37" s="93" t="s">
        <v>53</v>
      </c>
      <c r="K37" s="94" t="s">
        <v>54</v>
      </c>
      <c r="L37" s="63" t="s">
        <v>55</v>
      </c>
    </row>
    <row r="38" spans="1:12" ht="22.5" customHeight="1">
      <c r="A38" s="643" t="s">
        <v>56</v>
      </c>
      <c r="B38" s="644"/>
      <c r="C38" s="95" t="s">
        <v>57</v>
      </c>
      <c r="D38" s="96" t="s">
        <v>58</v>
      </c>
      <c r="E38" s="97"/>
      <c r="F38" s="46"/>
      <c r="G38" s="46"/>
      <c r="H38" s="46"/>
      <c r="I38" s="98"/>
      <c r="J38" s="99"/>
      <c r="K38" s="100" t="s">
        <v>59</v>
      </c>
      <c r="L38" s="66"/>
    </row>
    <row r="39" spans="1:12" ht="13.95" customHeight="1">
      <c r="A39" s="641" t="s">
        <v>60</v>
      </c>
      <c r="B39" s="642"/>
      <c r="C39" s="95" t="s">
        <v>61</v>
      </c>
      <c r="D39" s="101" t="s">
        <v>62</v>
      </c>
      <c r="E39" s="102"/>
      <c r="F39" s="103"/>
      <c r="G39" s="103"/>
      <c r="H39" s="103"/>
      <c r="I39" s="104"/>
      <c r="J39" s="105"/>
      <c r="K39" s="106">
        <v>0.1</v>
      </c>
      <c r="L39" s="68"/>
    </row>
    <row r="40" spans="1:12" ht="13.95" customHeight="1">
      <c r="A40" s="641" t="s">
        <v>63</v>
      </c>
      <c r="B40" s="642"/>
      <c r="C40" s="95" t="s">
        <v>64</v>
      </c>
      <c r="D40" s="101" t="s">
        <v>65</v>
      </c>
      <c r="E40" s="102"/>
      <c r="F40" s="103"/>
      <c r="G40" s="103"/>
      <c r="H40" s="103"/>
      <c r="I40" s="104"/>
      <c r="J40" s="99"/>
      <c r="K40" s="106">
        <v>0.1</v>
      </c>
      <c r="L40" s="69"/>
    </row>
    <row r="41" spans="1:12" ht="13.95" customHeight="1">
      <c r="A41" s="641" t="s">
        <v>66</v>
      </c>
      <c r="B41" s="642"/>
      <c r="C41" s="95" t="s">
        <v>67</v>
      </c>
      <c r="D41" s="101" t="s">
        <v>68</v>
      </c>
      <c r="E41" s="102"/>
      <c r="F41" s="103"/>
      <c r="G41" s="103"/>
      <c r="H41" s="103"/>
      <c r="I41" s="104"/>
      <c r="J41" s="105"/>
      <c r="K41" s="106">
        <v>0.3</v>
      </c>
      <c r="L41" s="68"/>
    </row>
    <row r="42" spans="1:12" ht="15" customHeight="1">
      <c r="A42" s="107"/>
      <c r="B42" s="108"/>
      <c r="C42" s="95" t="s">
        <v>69</v>
      </c>
      <c r="D42" s="101" t="s">
        <v>70</v>
      </c>
      <c r="E42" s="109"/>
      <c r="F42" s="110"/>
      <c r="G42" s="110"/>
      <c r="H42" s="110"/>
      <c r="I42" s="104"/>
      <c r="J42" s="105"/>
      <c r="K42" s="106">
        <v>0.15</v>
      </c>
      <c r="L42" s="68">
        <f>IF(K42&lt;&gt;"",ROUNDDOWN(J42*K42,0),0)</f>
        <v>0</v>
      </c>
    </row>
    <row r="43" spans="1:12" ht="13.95" customHeight="1">
      <c r="A43" s="641" t="s">
        <v>71</v>
      </c>
      <c r="B43" s="642"/>
      <c r="C43" s="95" t="s">
        <v>40</v>
      </c>
      <c r="D43" s="101" t="s">
        <v>72</v>
      </c>
      <c r="E43" s="97"/>
      <c r="F43" s="46"/>
      <c r="G43" s="46"/>
      <c r="H43" s="46"/>
      <c r="I43" s="103"/>
      <c r="J43" s="105"/>
      <c r="K43" s="106">
        <v>0.24</v>
      </c>
      <c r="L43" s="68"/>
    </row>
    <row r="44" spans="1:12" ht="13.95" customHeight="1">
      <c r="A44" s="641" t="s">
        <v>73</v>
      </c>
      <c r="B44" s="642"/>
      <c r="C44" s="95" t="s">
        <v>43</v>
      </c>
      <c r="D44" s="101" t="s">
        <v>74</v>
      </c>
      <c r="E44" s="102"/>
      <c r="F44" s="103"/>
      <c r="G44" s="103"/>
      <c r="H44" s="103"/>
      <c r="I44" s="103"/>
      <c r="J44" s="105"/>
      <c r="K44" s="106"/>
      <c r="L44" s="69"/>
    </row>
    <row r="45" spans="1:12" ht="14.4" customHeight="1" thickBot="1">
      <c r="A45" s="71">
        <v>4</v>
      </c>
      <c r="B45" s="52"/>
      <c r="C45" s="111"/>
      <c r="D45" s="112" t="s">
        <v>75</v>
      </c>
      <c r="E45" s="113"/>
      <c r="F45" s="113"/>
      <c r="G45" s="52"/>
      <c r="H45" s="52"/>
      <c r="I45" s="114" t="s">
        <v>76</v>
      </c>
      <c r="J45" s="115">
        <f>SUM(J38:J44)</f>
        <v>0</v>
      </c>
      <c r="K45" s="116"/>
      <c r="L45" s="117">
        <f>SUM(L38:L44)</f>
        <v>0</v>
      </c>
    </row>
    <row r="46" spans="1:12" ht="14.1" customHeight="1"/>
  </sheetData>
  <mergeCells count="41">
    <mergeCell ref="E5:F5"/>
    <mergeCell ref="A15:L15"/>
    <mergeCell ref="B16:H16"/>
    <mergeCell ref="I16:K16"/>
    <mergeCell ref="B17:H17"/>
    <mergeCell ref="I17:K17"/>
    <mergeCell ref="B18:H18"/>
    <mergeCell ref="I18:K18"/>
    <mergeCell ref="B19:H19"/>
    <mergeCell ref="I19:K19"/>
    <mergeCell ref="B20:H20"/>
    <mergeCell ref="I20:K20"/>
    <mergeCell ref="B21:J21"/>
    <mergeCell ref="A23:L23"/>
    <mergeCell ref="C24:L24"/>
    <mergeCell ref="A25:B25"/>
    <mergeCell ref="C25:G25"/>
    <mergeCell ref="I25:J25"/>
    <mergeCell ref="A26:B26"/>
    <mergeCell ref="C26:H26"/>
    <mergeCell ref="I26:J26"/>
    <mergeCell ref="A27:B27"/>
    <mergeCell ref="C27:H27"/>
    <mergeCell ref="I27:J27"/>
    <mergeCell ref="A38:B38"/>
    <mergeCell ref="B28:H28"/>
    <mergeCell ref="I28:K28"/>
    <mergeCell ref="C30:K30"/>
    <mergeCell ref="A31:B31"/>
    <mergeCell ref="C31:G31"/>
    <mergeCell ref="H31:K31"/>
    <mergeCell ref="B32:G32"/>
    <mergeCell ref="B33:G33"/>
    <mergeCell ref="B34:K34"/>
    <mergeCell ref="A36:K36"/>
    <mergeCell ref="A37:B37"/>
    <mergeCell ref="A39:B39"/>
    <mergeCell ref="A40:B40"/>
    <mergeCell ref="A41:B41"/>
    <mergeCell ref="A43:B43"/>
    <mergeCell ref="A44:B44"/>
  </mergeCells>
  <pageMargins left="0.24" right="0.05" top="0.06" bottom="0" header="0.03" footer="0.11"/>
  <pageSetup paperSize="9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32"/>
  <sheetViews>
    <sheetView view="pageBreakPreview" zoomScale="60" zoomScaleNormal="100" workbookViewId="0">
      <selection activeCell="C17" sqref="C17"/>
    </sheetView>
  </sheetViews>
  <sheetFormatPr baseColWidth="10" defaultColWidth="8" defaultRowHeight="13.8"/>
  <cols>
    <col min="1" max="1" width="8.109375" style="118" customWidth="1"/>
    <col min="2" max="2" width="51.44140625" style="118" customWidth="1"/>
    <col min="3" max="3" width="13.88671875" style="118" bestFit="1" customWidth="1"/>
    <col min="4" max="4" width="26.33203125" style="118" customWidth="1"/>
    <col min="5" max="5" width="6.33203125" style="121" customWidth="1"/>
    <col min="6" max="6" width="17" style="118" customWidth="1"/>
    <col min="7" max="7" width="14.109375" style="118" bestFit="1" customWidth="1"/>
    <col min="8" max="16384" width="8" style="118"/>
  </cols>
  <sheetData>
    <row r="1" spans="1:7" ht="15.6">
      <c r="D1" s="119"/>
      <c r="E1" s="120"/>
    </row>
    <row r="2" spans="1:7" ht="16.2" thickBot="1">
      <c r="F2" s="122"/>
    </row>
    <row r="3" spans="1:7" ht="14.4" thickBot="1">
      <c r="A3" s="692" t="s">
        <v>77</v>
      </c>
      <c r="B3" s="693"/>
      <c r="C3" s="693"/>
      <c r="D3" s="693"/>
      <c r="E3" s="693"/>
      <c r="F3" s="694"/>
    </row>
    <row r="4" spans="1:7" ht="26.4">
      <c r="A4" s="123" t="s">
        <v>26</v>
      </c>
      <c r="B4" s="695" t="s">
        <v>78</v>
      </c>
      <c r="C4" s="124" t="s">
        <v>79</v>
      </c>
      <c r="D4" s="697" t="s">
        <v>80</v>
      </c>
      <c r="E4" s="125" t="s">
        <v>81</v>
      </c>
      <c r="F4" s="126" t="s">
        <v>39</v>
      </c>
    </row>
    <row r="5" spans="1:7" ht="14.4" thickBot="1">
      <c r="A5" s="127"/>
      <c r="B5" s="696"/>
      <c r="C5" s="128" t="s">
        <v>82</v>
      </c>
      <c r="D5" s="698"/>
      <c r="E5" s="129"/>
      <c r="F5" s="130"/>
    </row>
    <row r="6" spans="1:7" ht="23.25" customHeight="1">
      <c r="A6" s="131"/>
      <c r="B6" s="132" t="s">
        <v>83</v>
      </c>
      <c r="C6" s="133"/>
      <c r="D6" s="134"/>
      <c r="E6" s="135"/>
      <c r="F6" s="136"/>
    </row>
    <row r="7" spans="1:7">
      <c r="A7" s="137"/>
      <c r="B7" s="138" t="s">
        <v>84</v>
      </c>
      <c r="C7" s="105"/>
      <c r="D7" s="139"/>
      <c r="E7" s="140">
        <v>0.03</v>
      </c>
      <c r="F7" s="141"/>
    </row>
    <row r="8" spans="1:7">
      <c r="A8" s="142"/>
      <c r="B8" s="143" t="s">
        <v>85</v>
      </c>
      <c r="C8" s="105"/>
      <c r="D8" s="139"/>
      <c r="E8" s="144">
        <v>1.4999999999999999E-2</v>
      </c>
      <c r="F8" s="141"/>
    </row>
    <row r="9" spans="1:7" ht="15.6">
      <c r="A9" s="142"/>
      <c r="B9" s="145" t="s">
        <v>86</v>
      </c>
      <c r="C9" s="99"/>
      <c r="D9" s="146"/>
      <c r="E9" s="147"/>
      <c r="F9" s="141">
        <f>+D9*0.015</f>
        <v>0</v>
      </c>
      <c r="G9" s="148"/>
    </row>
    <row r="10" spans="1:7" ht="15.6">
      <c r="A10" s="142"/>
      <c r="B10" s="145" t="s">
        <v>87</v>
      </c>
      <c r="C10" s="99"/>
      <c r="D10" s="149"/>
      <c r="E10" s="150"/>
      <c r="F10" s="151">
        <f>+D10*0.015</f>
        <v>0</v>
      </c>
      <c r="G10" s="148"/>
    </row>
    <row r="11" spans="1:7" ht="15.6">
      <c r="A11" s="142"/>
      <c r="B11" s="152" t="s">
        <v>88</v>
      </c>
      <c r="C11" s="99"/>
      <c r="D11" s="153"/>
      <c r="E11" s="147"/>
      <c r="F11" s="154"/>
    </row>
    <row r="12" spans="1:7" ht="15.6">
      <c r="A12" s="142"/>
      <c r="B12" s="155" t="s">
        <v>89</v>
      </c>
      <c r="C12" s="156"/>
      <c r="D12" s="157"/>
      <c r="E12" s="150"/>
      <c r="F12" s="158">
        <f>+D12*0.015</f>
        <v>0</v>
      </c>
    </row>
    <row r="13" spans="1:7" ht="15.6">
      <c r="A13" s="142"/>
      <c r="B13" s="145" t="s">
        <v>90</v>
      </c>
      <c r="C13" s="99"/>
      <c r="D13" s="139"/>
      <c r="E13" s="147"/>
      <c r="F13" s="141"/>
    </row>
    <row r="14" spans="1:7">
      <c r="A14" s="142"/>
      <c r="B14" s="145" t="s">
        <v>91</v>
      </c>
      <c r="C14" s="105"/>
      <c r="D14" s="139"/>
      <c r="E14" s="150"/>
      <c r="F14" s="141">
        <f>+C14</f>
        <v>0</v>
      </c>
    </row>
    <row r="15" spans="1:7">
      <c r="A15" s="142"/>
      <c r="B15" s="145" t="s">
        <v>92</v>
      </c>
      <c r="C15" s="105"/>
      <c r="D15" s="139"/>
      <c r="E15" s="147"/>
      <c r="F15" s="141">
        <f>+C15</f>
        <v>0</v>
      </c>
    </row>
    <row r="16" spans="1:7">
      <c r="A16" s="142"/>
      <c r="B16" s="145" t="s">
        <v>93</v>
      </c>
      <c r="C16" s="105"/>
      <c r="D16" s="139"/>
      <c r="E16" s="150"/>
      <c r="F16" s="141"/>
    </row>
    <row r="17" spans="1:6">
      <c r="A17" s="142"/>
      <c r="B17" s="145" t="s">
        <v>94</v>
      </c>
      <c r="C17" s="105"/>
      <c r="D17" s="139"/>
      <c r="E17" s="147"/>
      <c r="F17" s="141"/>
    </row>
    <row r="18" spans="1:6">
      <c r="A18" s="142"/>
      <c r="B18" s="145" t="s">
        <v>95</v>
      </c>
      <c r="C18" s="105"/>
      <c r="D18" s="139"/>
      <c r="E18" s="150"/>
      <c r="F18" s="141"/>
    </row>
    <row r="19" spans="1:6">
      <c r="A19" s="142"/>
      <c r="B19" s="145" t="s">
        <v>96</v>
      </c>
      <c r="C19" s="105"/>
      <c r="D19" s="139"/>
      <c r="E19" s="147"/>
      <c r="F19" s="141"/>
    </row>
    <row r="20" spans="1:6" ht="15.6" thickBot="1">
      <c r="A20" s="159"/>
      <c r="B20" s="160"/>
      <c r="C20" s="161"/>
      <c r="D20" s="162"/>
      <c r="E20" s="163"/>
      <c r="F20" s="164"/>
    </row>
    <row r="21" spans="1:6" s="167" customFormat="1" ht="13.2">
      <c r="A21" s="165" t="s">
        <v>97</v>
      </c>
      <c r="B21" s="166"/>
      <c r="E21" s="168"/>
      <c r="F21" s="169"/>
    </row>
    <row r="22" spans="1:6" ht="20.25" customHeight="1">
      <c r="A22" s="170"/>
      <c r="B22" s="171" t="s">
        <v>98</v>
      </c>
      <c r="C22" s="133"/>
      <c r="D22" s="172"/>
      <c r="E22" s="173"/>
      <c r="F22" s="136"/>
    </row>
    <row r="23" spans="1:6" ht="26.4">
      <c r="A23" s="174"/>
      <c r="B23" s="175" t="s">
        <v>99</v>
      </c>
      <c r="C23" s="105"/>
      <c r="D23" s="176"/>
      <c r="E23" s="150">
        <v>0.03</v>
      </c>
      <c r="F23" s="141"/>
    </row>
    <row r="24" spans="1:6" ht="21">
      <c r="A24" s="174"/>
      <c r="B24" s="177" t="s">
        <v>100</v>
      </c>
      <c r="C24" s="105"/>
      <c r="D24" s="176"/>
      <c r="E24" s="147"/>
      <c r="F24" s="141"/>
    </row>
    <row r="25" spans="1:6">
      <c r="A25" s="174"/>
      <c r="B25" s="145" t="s">
        <v>101</v>
      </c>
      <c r="C25" s="105"/>
      <c r="D25" s="139"/>
      <c r="E25" s="150"/>
      <c r="F25" s="141"/>
    </row>
    <row r="26" spans="1:6" ht="15" customHeight="1">
      <c r="A26" s="174"/>
      <c r="B26" s="145" t="s">
        <v>102</v>
      </c>
      <c r="C26" s="105"/>
      <c r="D26" s="139"/>
      <c r="E26" s="147"/>
      <c r="F26" s="141"/>
    </row>
    <row r="27" spans="1:6">
      <c r="A27" s="174"/>
      <c r="B27" s="178" t="s">
        <v>103</v>
      </c>
      <c r="C27" s="105"/>
      <c r="D27" s="176"/>
      <c r="E27" s="147">
        <v>1.4999999999999999E-2</v>
      </c>
      <c r="F27" s="141"/>
    </row>
    <row r="28" spans="1:6" ht="21">
      <c r="A28" s="174"/>
      <c r="B28" s="177" t="s">
        <v>100</v>
      </c>
      <c r="C28" s="105"/>
      <c r="D28" s="176"/>
      <c r="E28" s="150"/>
      <c r="F28" s="141"/>
    </row>
    <row r="29" spans="1:6">
      <c r="A29" s="174"/>
      <c r="B29" s="145" t="s">
        <v>101</v>
      </c>
      <c r="C29" s="105"/>
      <c r="D29" s="139"/>
      <c r="E29" s="179"/>
      <c r="F29" s="141"/>
    </row>
    <row r="30" spans="1:6" ht="14.4" thickBot="1">
      <c r="A30" s="180"/>
      <c r="B30" s="145" t="s">
        <v>102</v>
      </c>
      <c r="C30" s="105"/>
      <c r="D30" s="139"/>
      <c r="E30" s="181"/>
      <c r="F30" s="141"/>
    </row>
    <row r="31" spans="1:6">
      <c r="A31" s="182"/>
      <c r="B31" s="108"/>
      <c r="C31" s="105"/>
      <c r="D31" s="176"/>
      <c r="E31" s="179"/>
      <c r="F31" s="141"/>
    </row>
    <row r="32" spans="1:6" ht="14.4" thickBot="1">
      <c r="A32" s="183">
        <v>4</v>
      </c>
      <c r="B32" s="184" t="s">
        <v>104</v>
      </c>
      <c r="C32" s="185">
        <f>SUM(C6:C31)</f>
        <v>0</v>
      </c>
      <c r="D32" s="186">
        <f>SUM(D8:D25)</f>
        <v>0</v>
      </c>
      <c r="E32" s="187"/>
      <c r="F32" s="188">
        <f>SUM(F6:F31)</f>
        <v>0</v>
      </c>
    </row>
  </sheetData>
  <mergeCells count="3">
    <mergeCell ref="A3:F3"/>
    <mergeCell ref="B4:B5"/>
    <mergeCell ref="D4:D5"/>
  </mergeCells>
  <pageMargins left="0.70866141732283472" right="0.70866141732283472" top="0.74803149606299213" bottom="0.18" header="0.31496062992125984" footer="0.31496062992125984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M36"/>
  <sheetViews>
    <sheetView topLeftCell="A10" workbookViewId="0">
      <selection activeCell="G25" sqref="G25"/>
    </sheetView>
  </sheetViews>
  <sheetFormatPr baseColWidth="10" defaultColWidth="11.44140625" defaultRowHeight="14.4"/>
  <cols>
    <col min="1" max="1" width="2.6640625" customWidth="1"/>
    <col min="2" max="2" width="27.5546875" bestFit="1" customWidth="1"/>
    <col min="3" max="3" width="8" customWidth="1"/>
    <col min="4" max="4" width="15.88671875" customWidth="1"/>
    <col min="5" max="5" width="15.6640625" bestFit="1" customWidth="1"/>
    <col min="6" max="6" width="7.44140625" customWidth="1"/>
    <col min="7" max="7" width="18.6640625" customWidth="1"/>
    <col min="8" max="8" width="17.44140625" customWidth="1"/>
    <col min="9" max="9" width="10.33203125" customWidth="1"/>
    <col min="10" max="10" width="15.6640625" customWidth="1"/>
    <col min="11" max="11" width="4.33203125" customWidth="1"/>
    <col min="12" max="12" width="5.88671875" customWidth="1"/>
  </cols>
  <sheetData>
    <row r="1" spans="1:12" ht="14.25" customHeight="1">
      <c r="J1" s="189">
        <f>+'[2]G.50-1'!A12</f>
        <v>0</v>
      </c>
    </row>
    <row r="2" spans="1:12" ht="16.5" hidden="1" customHeight="1"/>
    <row r="3" spans="1:12" ht="12.9" customHeight="1" thickBot="1">
      <c r="A3" s="190"/>
      <c r="B3" s="190"/>
      <c r="C3" s="191"/>
      <c r="D3" s="190"/>
      <c r="E3" s="190"/>
      <c r="F3" s="190"/>
      <c r="G3" s="190"/>
      <c r="H3" s="192"/>
      <c r="I3" s="193" t="str">
        <f>'[2]G.50-1'!E3</f>
        <v>2025</v>
      </c>
      <c r="J3" s="190"/>
      <c r="K3" s="194"/>
    </row>
    <row r="4" spans="1:12" ht="12.75" customHeight="1">
      <c r="A4" s="195"/>
      <c r="B4" s="196"/>
      <c r="C4" s="125"/>
      <c r="D4" s="197" t="s">
        <v>105</v>
      </c>
      <c r="E4" s="198"/>
      <c r="F4" s="198"/>
      <c r="G4" s="199"/>
      <c r="H4" s="200" t="s">
        <v>106</v>
      </c>
      <c r="I4" s="200" t="s">
        <v>54</v>
      </c>
      <c r="J4" s="201" t="s">
        <v>107</v>
      </c>
      <c r="K4" s="202"/>
      <c r="L4" s="49"/>
    </row>
    <row r="5" spans="1:12" ht="12.75" customHeight="1">
      <c r="A5" s="704" t="s">
        <v>108</v>
      </c>
      <c r="B5" s="705"/>
      <c r="C5" s="203" t="s">
        <v>109</v>
      </c>
      <c r="D5" s="204" t="str">
        <f>'[1]Saisie-chiffres'!D74</f>
        <v>Timbre de quittances</v>
      </c>
      <c r="E5" s="205" t="s">
        <v>110</v>
      </c>
      <c r="F5" s="205"/>
      <c r="G5" s="206"/>
      <c r="H5" s="207"/>
      <c r="I5" s="208">
        <v>0.01</v>
      </c>
      <c r="J5" s="207"/>
      <c r="K5" s="209"/>
      <c r="L5" s="49"/>
    </row>
    <row r="6" spans="1:12" ht="12.75" customHeight="1">
      <c r="A6" s="704" t="s">
        <v>111</v>
      </c>
      <c r="B6" s="705"/>
      <c r="C6" s="203"/>
      <c r="D6" s="204"/>
      <c r="E6" s="210"/>
      <c r="F6" s="210"/>
      <c r="G6" s="211"/>
      <c r="H6" s="207"/>
      <c r="I6" s="212">
        <v>1.4999999999999999E-2</v>
      </c>
      <c r="J6" s="207"/>
      <c r="K6" s="209"/>
      <c r="L6" s="49"/>
    </row>
    <row r="7" spans="1:12" ht="15.75" customHeight="1">
      <c r="A7" s="213" t="s">
        <v>112</v>
      </c>
      <c r="B7" s="213"/>
      <c r="C7" s="203"/>
      <c r="D7" s="204"/>
      <c r="E7" s="214"/>
      <c r="F7" s="214"/>
      <c r="G7" s="215"/>
      <c r="H7" s="207"/>
      <c r="I7" s="216">
        <v>0.02</v>
      </c>
      <c r="J7" s="207"/>
      <c r="K7" s="217"/>
      <c r="L7" s="49"/>
    </row>
    <row r="8" spans="1:12" ht="16.5" customHeight="1" thickBot="1">
      <c r="A8" s="218">
        <v>5</v>
      </c>
      <c r="B8" s="219"/>
      <c r="C8" s="220"/>
      <c r="D8" s="221"/>
      <c r="E8" s="222"/>
      <c r="F8" s="223" t="s">
        <v>34</v>
      </c>
      <c r="G8" s="224"/>
      <c r="H8" s="225">
        <f>+H5</f>
        <v>0</v>
      </c>
      <c r="I8" s="226"/>
      <c r="J8" s="225">
        <f>SUM(J5:J7)</f>
        <v>0</v>
      </c>
      <c r="K8" s="227">
        <f>A8</f>
        <v>5</v>
      </c>
      <c r="L8" s="49"/>
    </row>
    <row r="9" spans="1:12" ht="12.75" customHeight="1" thickBot="1">
      <c r="A9" s="190"/>
      <c r="B9" s="190"/>
      <c r="C9" s="228"/>
      <c r="D9" s="190"/>
      <c r="E9" s="190"/>
      <c r="F9" s="190"/>
      <c r="G9" s="190"/>
      <c r="H9" s="190"/>
      <c r="I9" s="190"/>
      <c r="J9" s="190"/>
      <c r="K9" s="190"/>
      <c r="L9" s="49"/>
    </row>
    <row r="10" spans="1:12" ht="12.75" customHeight="1">
      <c r="A10" s="195"/>
      <c r="B10" s="229"/>
      <c r="C10" s="196"/>
      <c r="D10" s="197" t="s">
        <v>105</v>
      </c>
      <c r="E10" s="230"/>
      <c r="F10" s="230"/>
      <c r="G10" s="231"/>
      <c r="H10" s="200" t="s">
        <v>106</v>
      </c>
      <c r="I10" s="200" t="s">
        <v>54</v>
      </c>
      <c r="J10" s="232" t="s">
        <v>107</v>
      </c>
      <c r="K10" s="233"/>
      <c r="L10" s="49"/>
    </row>
    <row r="11" spans="1:12" ht="12.75" customHeight="1">
      <c r="A11" s="706" t="s">
        <v>113</v>
      </c>
      <c r="B11" s="707"/>
      <c r="C11" s="708"/>
      <c r="D11" s="204"/>
      <c r="E11" s="234"/>
      <c r="F11" s="235"/>
      <c r="G11" s="236"/>
      <c r="H11" s="237"/>
      <c r="I11" s="238"/>
      <c r="J11" s="239"/>
      <c r="K11" s="240"/>
      <c r="L11" s="49"/>
    </row>
    <row r="12" spans="1:12" ht="12.75" customHeight="1">
      <c r="A12" s="706" t="s">
        <v>114</v>
      </c>
      <c r="B12" s="707"/>
      <c r="C12" s="708"/>
      <c r="D12" s="204"/>
      <c r="E12" s="234"/>
      <c r="F12" s="496"/>
      <c r="G12" s="497"/>
      <c r="H12" s="498"/>
      <c r="I12" s="499">
        <v>0.01</v>
      </c>
      <c r="J12" s="500">
        <f>+H12*1%</f>
        <v>0</v>
      </c>
      <c r="K12" s="240"/>
      <c r="L12" s="49"/>
    </row>
    <row r="13" spans="1:12" ht="12.75" customHeight="1">
      <c r="A13" s="706" t="s">
        <v>115</v>
      </c>
      <c r="B13" s="707"/>
      <c r="C13" s="708"/>
      <c r="D13" s="204"/>
      <c r="E13" s="234"/>
      <c r="F13" s="709"/>
      <c r="G13" s="710"/>
      <c r="H13" s="498"/>
      <c r="I13" s="499">
        <v>0.01</v>
      </c>
      <c r="J13" s="500">
        <f>+H13*1%</f>
        <v>0</v>
      </c>
      <c r="K13" s="241"/>
      <c r="L13" s="49"/>
    </row>
    <row r="14" spans="1:12" ht="15.75" customHeight="1" thickBot="1">
      <c r="A14" s="218">
        <v>6</v>
      </c>
      <c r="B14" s="242"/>
      <c r="C14" s="219"/>
      <c r="D14" s="243"/>
      <c r="E14" s="244"/>
      <c r="F14" s="501" t="s">
        <v>34</v>
      </c>
      <c r="G14" s="502"/>
      <c r="H14" s="503">
        <f>SUM(H11:H13)</f>
        <v>0</v>
      </c>
      <c r="I14" s="504"/>
      <c r="J14" s="505">
        <f>SUM(J11:J13)</f>
        <v>0</v>
      </c>
      <c r="K14" s="245">
        <f>A14</f>
        <v>6</v>
      </c>
    </row>
    <row r="15" spans="1:12" ht="12.75" customHeight="1" thickBot="1">
      <c r="A15" s="190"/>
      <c r="B15" s="190"/>
      <c r="C15" s="190"/>
      <c r="D15" s="190"/>
      <c r="E15" s="190"/>
      <c r="F15" s="190"/>
      <c r="G15" s="190"/>
      <c r="H15" s="190"/>
      <c r="I15" s="190"/>
      <c r="J15" s="190"/>
      <c r="K15" s="190"/>
    </row>
    <row r="16" spans="1:12" ht="12.75" customHeight="1" thickBot="1">
      <c r="A16" s="246"/>
      <c r="B16" s="247"/>
      <c r="C16" s="247" t="s">
        <v>116</v>
      </c>
      <c r="D16" s="247"/>
      <c r="E16" s="248"/>
      <c r="F16" s="249" t="s">
        <v>117</v>
      </c>
      <c r="G16" s="248"/>
      <c r="H16" s="249" t="s">
        <v>118</v>
      </c>
      <c r="I16" s="248"/>
      <c r="J16" s="249" t="s">
        <v>119</v>
      </c>
      <c r="K16" s="248"/>
    </row>
    <row r="17" spans="1:13" ht="12.75" customHeight="1">
      <c r="A17" s="250"/>
      <c r="B17" s="251"/>
      <c r="C17" s="251"/>
      <c r="D17" s="252"/>
      <c r="E17" s="253"/>
      <c r="F17" s="250"/>
      <c r="G17" s="252"/>
      <c r="H17" s="254" t="s">
        <v>120</v>
      </c>
      <c r="I17" s="255"/>
      <c r="J17" s="699" t="s">
        <v>121</v>
      </c>
      <c r="K17" s="700"/>
    </row>
    <row r="18" spans="1:13" ht="12.75" customHeight="1">
      <c r="A18" s="258" t="s">
        <v>122</v>
      </c>
      <c r="B18" s="228" t="s">
        <v>123</v>
      </c>
      <c r="C18" s="228"/>
      <c r="D18" s="259" t="s">
        <v>124</v>
      </c>
      <c r="E18" s="260">
        <f>+'G50-01'!L21</f>
        <v>0</v>
      </c>
      <c r="F18" s="261" t="s">
        <v>125</v>
      </c>
      <c r="G18" s="262"/>
      <c r="H18" s="263" t="s">
        <v>126</v>
      </c>
      <c r="I18" s="264"/>
      <c r="J18" s="699" t="s">
        <v>127</v>
      </c>
      <c r="K18" s="700"/>
    </row>
    <row r="19" spans="1:13" ht="12.75" customHeight="1">
      <c r="A19" s="258" t="s">
        <v>128</v>
      </c>
      <c r="B19" s="228" t="s">
        <v>129</v>
      </c>
      <c r="C19" s="228"/>
      <c r="D19" s="265" t="s">
        <v>130</v>
      </c>
      <c r="E19" s="266">
        <v>0</v>
      </c>
      <c r="F19" s="261" t="s">
        <v>131</v>
      </c>
      <c r="G19" s="262"/>
      <c r="H19" s="263" t="s">
        <v>132</v>
      </c>
      <c r="I19" s="264"/>
      <c r="J19" s="701" t="s">
        <v>133</v>
      </c>
      <c r="K19" s="702"/>
    </row>
    <row r="20" spans="1:13" ht="12.75" customHeight="1">
      <c r="A20" s="258" t="s">
        <v>134</v>
      </c>
      <c r="B20" s="228"/>
      <c r="C20" s="228"/>
      <c r="D20" s="265" t="s">
        <v>135</v>
      </c>
      <c r="E20" s="266">
        <f>+'G50-01'!L34</f>
        <v>210756.6</v>
      </c>
      <c r="F20" s="261" t="s">
        <v>136</v>
      </c>
      <c r="G20" s="262"/>
      <c r="H20" s="267" t="s">
        <v>137</v>
      </c>
      <c r="I20" s="268"/>
      <c r="J20" s="699" t="s">
        <v>127</v>
      </c>
      <c r="K20" s="700"/>
    </row>
    <row r="21" spans="1:13" ht="16.5" customHeight="1">
      <c r="A21" s="258" t="s">
        <v>138</v>
      </c>
      <c r="B21" s="228"/>
      <c r="C21" s="228"/>
      <c r="D21" s="259" t="s">
        <v>139</v>
      </c>
      <c r="E21" s="260"/>
      <c r="F21" s="261" t="s">
        <v>140</v>
      </c>
      <c r="G21" s="262"/>
      <c r="H21" s="263" t="s">
        <v>141</v>
      </c>
      <c r="I21" s="264"/>
      <c r="J21" s="699" t="s">
        <v>127</v>
      </c>
      <c r="K21" s="700"/>
    </row>
    <row r="22" spans="1:13" ht="12.75" customHeight="1">
      <c r="A22" s="258" t="s">
        <v>142</v>
      </c>
      <c r="B22" s="228"/>
      <c r="C22" s="228"/>
      <c r="D22" s="259" t="s">
        <v>143</v>
      </c>
      <c r="E22" s="266"/>
      <c r="F22" s="261" t="s">
        <v>144</v>
      </c>
      <c r="G22" s="269" t="s">
        <v>7</v>
      </c>
      <c r="H22" s="263" t="s">
        <v>145</v>
      </c>
      <c r="I22" s="264"/>
      <c r="J22" s="699" t="s">
        <v>127</v>
      </c>
      <c r="K22" s="700"/>
    </row>
    <row r="23" spans="1:13" ht="12.75" customHeight="1">
      <c r="A23" s="258" t="s">
        <v>146</v>
      </c>
      <c r="B23" s="228"/>
      <c r="C23" s="228"/>
      <c r="D23" s="265" t="s">
        <v>147</v>
      </c>
      <c r="E23" s="266"/>
      <c r="F23" s="261" t="s">
        <v>148</v>
      </c>
      <c r="G23" s="270">
        <v>46178</v>
      </c>
      <c r="H23" s="263" t="s">
        <v>149</v>
      </c>
      <c r="I23" s="264"/>
      <c r="J23" s="699" t="s">
        <v>127</v>
      </c>
      <c r="K23" s="700"/>
    </row>
    <row r="24" spans="1:13" ht="12.75" customHeight="1">
      <c r="A24" s="258" t="str">
        <f>"    - "&amp;D11</f>
        <v xml:space="preserve">    - </v>
      </c>
      <c r="B24" s="228"/>
      <c r="C24" s="228"/>
      <c r="D24" s="265" t="s">
        <v>150</v>
      </c>
      <c r="E24" s="266">
        <f>J11</f>
        <v>0</v>
      </c>
      <c r="F24" s="261"/>
      <c r="G24" s="262"/>
      <c r="H24" s="263"/>
      <c r="I24" s="264"/>
      <c r="J24" s="699" t="s">
        <v>127</v>
      </c>
      <c r="K24" s="700"/>
    </row>
    <row r="25" spans="1:13" ht="12.75" customHeight="1">
      <c r="A25" s="258" t="s">
        <v>151</v>
      </c>
      <c r="B25" s="228"/>
      <c r="C25" s="228"/>
      <c r="D25" s="265" t="s">
        <v>152</v>
      </c>
      <c r="E25" s="266"/>
      <c r="F25" s="261" t="s">
        <v>153</v>
      </c>
      <c r="G25" s="262"/>
      <c r="H25" s="267" t="s">
        <v>154</v>
      </c>
      <c r="I25" s="264"/>
      <c r="J25" s="703">
        <f>SUM(J12:J24)</f>
        <v>0</v>
      </c>
      <c r="K25" s="700"/>
      <c r="M25" s="271"/>
    </row>
    <row r="26" spans="1:13" ht="12.75" customHeight="1">
      <c r="A26" s="258" t="s">
        <v>155</v>
      </c>
      <c r="B26" s="228"/>
      <c r="C26" s="228"/>
      <c r="D26" s="265" t="s">
        <v>156</v>
      </c>
      <c r="E26" s="266">
        <f>SUM(J8)</f>
        <v>0</v>
      </c>
      <c r="F26" s="272"/>
      <c r="G26" s="273"/>
      <c r="H26" s="263" t="s">
        <v>157</v>
      </c>
      <c r="I26" s="264"/>
      <c r="J26" s="699" t="s">
        <v>127</v>
      </c>
      <c r="K26" s="700"/>
    </row>
    <row r="27" spans="1:13" ht="12.75" customHeight="1">
      <c r="A27" s="258" t="str">
        <f>" 6  - "&amp;D166</f>
        <v xml:space="preserve"> 6  - </v>
      </c>
      <c r="B27" s="506" t="s">
        <v>331</v>
      </c>
      <c r="C27" s="506"/>
      <c r="D27" s="507" t="s">
        <v>158</v>
      </c>
      <c r="E27" s="508">
        <f>+J14</f>
        <v>0</v>
      </c>
      <c r="F27" s="274"/>
      <c r="G27" s="273"/>
      <c r="H27" s="263" t="s">
        <v>159</v>
      </c>
      <c r="I27" s="264"/>
      <c r="J27" s="699" t="s">
        <v>127</v>
      </c>
      <c r="K27" s="700"/>
    </row>
    <row r="28" spans="1:13" ht="12.75" customHeight="1">
      <c r="A28" s="258" t="s">
        <v>160</v>
      </c>
      <c r="B28" s="228"/>
      <c r="C28" s="228"/>
      <c r="D28" s="275" t="s">
        <v>161</v>
      </c>
      <c r="E28" s="266">
        <f>+'G50-04'!L38</f>
        <v>0</v>
      </c>
      <c r="F28" s="274"/>
      <c r="G28" s="273"/>
      <c r="H28" s="263" t="s">
        <v>162</v>
      </c>
      <c r="I28" s="276"/>
      <c r="J28" s="699" t="s">
        <v>127</v>
      </c>
      <c r="K28" s="700"/>
    </row>
    <row r="29" spans="1:13" ht="21" customHeight="1" thickBot="1">
      <c r="A29" s="258"/>
      <c r="B29" s="228"/>
      <c r="C29" s="228"/>
      <c r="D29" s="277"/>
      <c r="E29" s="278"/>
      <c r="F29" s="274"/>
      <c r="G29" s="273"/>
      <c r="H29" s="263" t="s">
        <v>163</v>
      </c>
      <c r="I29" s="276"/>
      <c r="J29" s="699" t="s">
        <v>127</v>
      </c>
      <c r="K29" s="700"/>
    </row>
    <row r="30" spans="1:13" ht="15.75" customHeight="1">
      <c r="A30" s="279"/>
      <c r="B30" s="280" t="s">
        <v>164</v>
      </c>
      <c r="D30" s="273"/>
      <c r="E30" s="345">
        <f>SUM(E18:E29)</f>
        <v>210756.6</v>
      </c>
      <c r="F30" s="274"/>
      <c r="G30" s="273"/>
      <c r="H30" s="263"/>
      <c r="I30" s="276"/>
      <c r="J30" s="256"/>
      <c r="K30" s="257"/>
    </row>
    <row r="31" spans="1:13" ht="30" customHeight="1" thickBot="1">
      <c r="A31" s="281"/>
      <c r="B31" s="282"/>
      <c r="C31" s="282"/>
      <c r="D31" s="283"/>
      <c r="E31" s="284"/>
      <c r="F31" s="281"/>
      <c r="G31" s="283"/>
      <c r="H31" s="285"/>
      <c r="I31" s="286"/>
      <c r="J31" s="287"/>
      <c r="K31" s="288"/>
    </row>
    <row r="32" spans="1:13" ht="12.75" customHeight="1"/>
    <row r="33" ht="15" customHeight="1"/>
    <row r="35" ht="18" customHeight="1"/>
    <row r="36" ht="20.25" customHeight="1"/>
  </sheetData>
  <mergeCells count="19">
    <mergeCell ref="J17:K17"/>
    <mergeCell ref="A5:B5"/>
    <mergeCell ref="A6:B6"/>
    <mergeCell ref="A11:C11"/>
    <mergeCell ref="A12:C12"/>
    <mergeCell ref="A13:C13"/>
    <mergeCell ref="F13:G13"/>
    <mergeCell ref="J29:K29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</mergeCells>
  <pageMargins left="0.53" right="0.16" top="0.74803149606299213" bottom="0.74803149606299213" header="0.31496062992125984" footer="0.31496062992125984"/>
  <pageSetup paperSize="9" scale="9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1]!ZommPlus">
                <anchor moveWithCells="1">
                  <from>
                    <xdr:col>1</xdr:col>
                    <xdr:colOff>464820</xdr:colOff>
                    <xdr:row>0</xdr:row>
                    <xdr:rowOff>7620</xdr:rowOff>
                  </from>
                  <to>
                    <xdr:col>1</xdr:col>
                    <xdr:colOff>723900</xdr:colOff>
                    <xdr:row>0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1]!ZommMoins">
                <anchor moveWithCells="1">
                  <from>
                    <xdr:col>2</xdr:col>
                    <xdr:colOff>60960</xdr:colOff>
                    <xdr:row>0</xdr:row>
                    <xdr:rowOff>7620</xdr:rowOff>
                  </from>
                  <to>
                    <xdr:col>2</xdr:col>
                    <xdr:colOff>312420</xdr:colOff>
                    <xdr:row>0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Button 3">
              <controlPr defaultSize="0" print="0" autoFill="0" autoPict="0" macro="[1]!afficheDCL">
                <anchor moveWithCells="1">
                  <from>
                    <xdr:col>2</xdr:col>
                    <xdr:colOff>480060</xdr:colOff>
                    <xdr:row>0</xdr:row>
                    <xdr:rowOff>7620</xdr:rowOff>
                  </from>
                  <to>
                    <xdr:col>3</xdr:col>
                    <xdr:colOff>312420</xdr:colOff>
                    <xdr:row>0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Button 4">
              <controlPr defaultSize="0" print="0" autoFill="0" autoPict="0" macro="[1]!Afficher_id">
                <anchor moveWithCells="1">
                  <from>
                    <xdr:col>4</xdr:col>
                    <xdr:colOff>160020</xdr:colOff>
                    <xdr:row>0</xdr:row>
                    <xdr:rowOff>7620</xdr:rowOff>
                  </from>
                  <to>
                    <xdr:col>4</xdr:col>
                    <xdr:colOff>419100</xdr:colOff>
                    <xdr:row>0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B1:Q45"/>
  <sheetViews>
    <sheetView tabSelected="1" topLeftCell="A20" zoomScaleNormal="100" workbookViewId="0">
      <selection activeCell="J20" sqref="J20"/>
    </sheetView>
  </sheetViews>
  <sheetFormatPr baseColWidth="10" defaultColWidth="11.44140625" defaultRowHeight="14.4"/>
  <cols>
    <col min="1" max="1" width="2.33203125" customWidth="1"/>
    <col min="2" max="2" width="10.109375" customWidth="1"/>
    <col min="3" max="3" width="35.44140625" customWidth="1"/>
    <col min="4" max="4" width="3.6640625" customWidth="1"/>
    <col min="5" max="5" width="13.5546875" bestFit="1" customWidth="1"/>
    <col min="6" max="6" width="4.6640625" customWidth="1"/>
    <col min="7" max="7" width="9" customWidth="1"/>
    <col min="8" max="8" width="3" customWidth="1"/>
    <col min="9" max="9" width="15.5546875" customWidth="1"/>
    <col min="10" max="10" width="6.109375" customWidth="1"/>
    <col min="11" max="11" width="3.33203125" customWidth="1"/>
    <col min="12" max="12" width="14" customWidth="1"/>
    <col min="13" max="13" width="3.109375" customWidth="1"/>
    <col min="14" max="14" width="11.6640625" bestFit="1" customWidth="1"/>
    <col min="15" max="15" width="13.33203125" bestFit="1" customWidth="1"/>
    <col min="17" max="17" width="11.109375" customWidth="1"/>
  </cols>
  <sheetData>
    <row r="1" spans="2:12" ht="5.25" customHeight="1" thickBot="1"/>
    <row r="2" spans="2:12" ht="18" thickBot="1">
      <c r="B2" s="168" t="s">
        <v>165</v>
      </c>
      <c r="C2" s="168"/>
      <c r="D2" s="632" t="s">
        <v>166</v>
      </c>
      <c r="E2" s="633"/>
      <c r="F2" s="633"/>
      <c r="G2" s="633"/>
      <c r="H2" s="633"/>
      <c r="I2" s="633"/>
      <c r="J2" s="634"/>
      <c r="L2" s="289"/>
    </row>
    <row r="3" spans="2:12" ht="11.25" customHeight="1">
      <c r="B3" s="168" t="s">
        <v>167</v>
      </c>
      <c r="C3" s="168"/>
      <c r="E3">
        <v>2026</v>
      </c>
      <c r="K3" s="290"/>
    </row>
    <row r="4" spans="2:12" ht="16.5" customHeight="1">
      <c r="B4" s="168" t="s">
        <v>168</v>
      </c>
      <c r="C4" s="168"/>
      <c r="D4" s="635" t="s">
        <v>169</v>
      </c>
      <c r="E4" s="635"/>
      <c r="F4" s="635"/>
      <c r="G4" s="635"/>
      <c r="H4" s="635"/>
      <c r="I4" s="635"/>
      <c r="J4" s="635"/>
      <c r="L4" s="567">
        <v>46113</v>
      </c>
    </row>
    <row r="5" spans="2:12" ht="6" customHeight="1" thickBot="1">
      <c r="B5" s="168"/>
      <c r="C5" s="168"/>
      <c r="E5" t="s">
        <v>110</v>
      </c>
    </row>
    <row r="6" spans="2:12" ht="14.1" customHeight="1">
      <c r="B6" s="123" t="s">
        <v>26</v>
      </c>
      <c r="C6" s="291"/>
      <c r="D6" s="636" t="s">
        <v>79</v>
      </c>
      <c r="E6" s="637"/>
      <c r="F6" s="636" t="s">
        <v>79</v>
      </c>
      <c r="G6" s="638"/>
      <c r="H6" s="637"/>
      <c r="I6" s="292" t="s">
        <v>79</v>
      </c>
      <c r="J6" s="293" t="s">
        <v>54</v>
      </c>
      <c r="K6" s="639" t="s">
        <v>170</v>
      </c>
      <c r="L6" s="640"/>
    </row>
    <row r="7" spans="2:12" ht="14.25" customHeight="1">
      <c r="B7" s="294"/>
      <c r="C7" s="295" t="s">
        <v>171</v>
      </c>
      <c r="D7" s="628" t="s">
        <v>82</v>
      </c>
      <c r="E7" s="629"/>
      <c r="F7" s="628" t="s">
        <v>172</v>
      </c>
      <c r="G7" s="630"/>
      <c r="H7" s="629"/>
      <c r="I7" s="295" t="s">
        <v>173</v>
      </c>
      <c r="J7" s="296"/>
      <c r="K7" s="628" t="s">
        <v>174</v>
      </c>
      <c r="L7" s="631"/>
    </row>
    <row r="8" spans="2:12" ht="14.4" customHeight="1">
      <c r="B8" s="174" t="s">
        <v>175</v>
      </c>
      <c r="C8" s="145" t="s">
        <v>176</v>
      </c>
      <c r="D8" s="618"/>
      <c r="E8" s="619"/>
      <c r="F8" s="624"/>
      <c r="G8" s="625"/>
      <c r="H8" s="620"/>
      <c r="I8" s="297"/>
      <c r="J8" s="298">
        <v>0.09</v>
      </c>
      <c r="K8" s="626">
        <f t="shared" ref="K8:K13" si="0">SUM(I8*7/100)</f>
        <v>0</v>
      </c>
      <c r="L8" s="627"/>
    </row>
    <row r="9" spans="2:12" ht="14.4" customHeight="1">
      <c r="B9" s="174" t="s">
        <v>177</v>
      </c>
      <c r="C9" s="145" t="s">
        <v>178</v>
      </c>
      <c r="D9" s="618"/>
      <c r="E9" s="619"/>
      <c r="F9" s="618"/>
      <c r="G9" s="619"/>
      <c r="H9" s="620"/>
      <c r="I9" s="297"/>
      <c r="J9" s="299" t="s">
        <v>179</v>
      </c>
      <c r="K9" s="621">
        <f t="shared" si="0"/>
        <v>0</v>
      </c>
      <c r="L9" s="622"/>
    </row>
    <row r="10" spans="2:12" ht="15.6">
      <c r="B10" s="174" t="s">
        <v>180</v>
      </c>
      <c r="C10" s="145" t="s">
        <v>181</v>
      </c>
      <c r="D10" s="618"/>
      <c r="E10" s="619"/>
      <c r="F10" s="618"/>
      <c r="G10" s="619"/>
      <c r="H10" s="620"/>
      <c r="I10" s="297"/>
      <c r="J10" s="300" t="s">
        <v>179</v>
      </c>
      <c r="K10" s="621">
        <f t="shared" si="0"/>
        <v>0</v>
      </c>
      <c r="L10" s="622"/>
    </row>
    <row r="11" spans="2:12" ht="15.6">
      <c r="B11" s="174" t="s">
        <v>182</v>
      </c>
      <c r="C11" s="145" t="s">
        <v>183</v>
      </c>
      <c r="D11" s="618"/>
      <c r="E11" s="619"/>
      <c r="F11" s="618"/>
      <c r="G11" s="619"/>
      <c r="H11" s="620"/>
      <c r="I11" s="297"/>
      <c r="J11" s="300" t="s">
        <v>179</v>
      </c>
      <c r="K11" s="621">
        <f t="shared" si="0"/>
        <v>0</v>
      </c>
      <c r="L11" s="622"/>
    </row>
    <row r="12" spans="2:12" ht="14.4" customHeight="1">
      <c r="B12" s="174" t="s">
        <v>184</v>
      </c>
      <c r="C12" s="145" t="s">
        <v>185</v>
      </c>
      <c r="D12" s="618"/>
      <c r="E12" s="619"/>
      <c r="F12" s="618"/>
      <c r="G12" s="619"/>
      <c r="H12" s="620"/>
      <c r="I12" s="297"/>
      <c r="J12" s="300" t="s">
        <v>179</v>
      </c>
      <c r="K12" s="621">
        <f t="shared" si="0"/>
        <v>0</v>
      </c>
      <c r="L12" s="622"/>
    </row>
    <row r="13" spans="2:12" ht="14.4" customHeight="1">
      <c r="B13" s="174" t="s">
        <v>186</v>
      </c>
      <c r="C13" s="145" t="s">
        <v>187</v>
      </c>
      <c r="D13" s="618"/>
      <c r="E13" s="619"/>
      <c r="F13" s="618"/>
      <c r="G13" s="619"/>
      <c r="H13" s="620"/>
      <c r="I13" s="297"/>
      <c r="J13" s="300" t="s">
        <v>179</v>
      </c>
      <c r="K13" s="621">
        <f t="shared" si="0"/>
        <v>0</v>
      </c>
      <c r="L13" s="622"/>
    </row>
    <row r="14" spans="2:12" ht="3" customHeight="1" thickBot="1">
      <c r="B14" s="301"/>
      <c r="C14" s="302"/>
      <c r="D14" s="303"/>
      <c r="E14" s="304"/>
      <c r="F14" s="305"/>
      <c r="G14" s="306"/>
      <c r="H14" s="307"/>
      <c r="I14" s="303"/>
      <c r="J14" s="308"/>
      <c r="K14" s="305"/>
      <c r="L14" s="309"/>
    </row>
    <row r="15" spans="2:12" ht="3" customHeight="1">
      <c r="B15" s="174"/>
      <c r="C15" s="145"/>
      <c r="D15" s="310"/>
      <c r="E15" s="311"/>
      <c r="F15" s="310"/>
      <c r="G15" s="311"/>
      <c r="H15" s="312"/>
      <c r="I15" s="310"/>
      <c r="J15" s="313"/>
      <c r="K15" s="310"/>
      <c r="L15" s="314"/>
    </row>
    <row r="16" spans="2:12" ht="14.4" customHeight="1">
      <c r="B16" s="174" t="s">
        <v>188</v>
      </c>
      <c r="C16" s="145" t="s">
        <v>189</v>
      </c>
      <c r="D16" s="618"/>
      <c r="E16" s="619"/>
      <c r="F16" s="618"/>
      <c r="G16" s="619"/>
      <c r="H16" s="620"/>
      <c r="I16" s="297"/>
      <c r="J16" s="299">
        <v>0.19</v>
      </c>
      <c r="K16" s="621">
        <f>SUM(I16*19/100)</f>
        <v>0</v>
      </c>
      <c r="L16" s="622"/>
    </row>
    <row r="17" spans="2:15" ht="14.4" customHeight="1">
      <c r="B17" s="174" t="s">
        <v>190</v>
      </c>
      <c r="C17" s="145" t="s">
        <v>251</v>
      </c>
      <c r="D17" s="618">
        <f>+F17+I17</f>
        <v>0</v>
      </c>
      <c r="E17" s="619"/>
      <c r="F17" s="618">
        <f>+'CA-GC+TRANSPORT'!D9</f>
        <v>0</v>
      </c>
      <c r="G17" s="619"/>
      <c r="H17" s="620"/>
      <c r="I17" s="297">
        <f>+'CA-GC+TRANSPORT'!D15</f>
        <v>0</v>
      </c>
      <c r="J17" s="300" t="s">
        <v>179</v>
      </c>
      <c r="K17" s="621">
        <f>+I17*J16</f>
        <v>0</v>
      </c>
      <c r="L17" s="622"/>
    </row>
    <row r="18" spans="2:15" ht="14.4" customHeight="1">
      <c r="B18" s="174" t="s">
        <v>191</v>
      </c>
      <c r="C18" s="145" t="s">
        <v>192</v>
      </c>
      <c r="D18" s="618">
        <f>SUM(F18:I18)</f>
        <v>0</v>
      </c>
      <c r="E18" s="619"/>
      <c r="F18" s="618"/>
      <c r="G18" s="619"/>
      <c r="H18" s="620"/>
      <c r="I18" s="297"/>
      <c r="J18" s="300" t="s">
        <v>179</v>
      </c>
      <c r="K18" s="621">
        <f>+I18*0.19</f>
        <v>0</v>
      </c>
      <c r="L18" s="622"/>
    </row>
    <row r="19" spans="2:15" ht="14.4" customHeight="1">
      <c r="B19" s="174" t="s">
        <v>193</v>
      </c>
      <c r="C19" s="145" t="s">
        <v>194</v>
      </c>
      <c r="D19" s="618"/>
      <c r="E19" s="619"/>
      <c r="F19" s="618"/>
      <c r="G19" s="619"/>
      <c r="H19" s="620"/>
      <c r="I19" s="297"/>
      <c r="J19" s="588" t="s">
        <v>179</v>
      </c>
      <c r="K19" s="621">
        <f t="shared" ref="K19:K21" si="1">ROUND(I19*17%,0)</f>
        <v>0</v>
      </c>
      <c r="L19" s="622"/>
    </row>
    <row r="20" spans="2:15" ht="15.6">
      <c r="B20" s="174" t="s">
        <v>195</v>
      </c>
      <c r="C20" s="145" t="s">
        <v>196</v>
      </c>
      <c r="D20" s="618"/>
      <c r="E20" s="619"/>
      <c r="F20" s="618"/>
      <c r="G20" s="619"/>
      <c r="H20" s="620"/>
      <c r="I20" s="297"/>
      <c r="J20" s="588" t="s">
        <v>179</v>
      </c>
      <c r="K20" s="621">
        <f t="shared" si="1"/>
        <v>0</v>
      </c>
      <c r="L20" s="622"/>
    </row>
    <row r="21" spans="2:15" ht="15.6">
      <c r="B21" s="174" t="s">
        <v>197</v>
      </c>
      <c r="C21" s="145" t="s">
        <v>198</v>
      </c>
      <c r="D21" s="618"/>
      <c r="E21" s="619"/>
      <c r="F21" s="618"/>
      <c r="G21" s="619"/>
      <c r="H21" s="620"/>
      <c r="I21" s="297"/>
      <c r="J21" s="300" t="s">
        <v>179</v>
      </c>
      <c r="K21" s="621">
        <f t="shared" si="1"/>
        <v>0</v>
      </c>
      <c r="L21" s="622"/>
    </row>
    <row r="22" spans="2:15" ht="14.4" customHeight="1">
      <c r="B22" s="174" t="s">
        <v>199</v>
      </c>
      <c r="C22" s="145" t="s">
        <v>249</v>
      </c>
      <c r="D22" s="621">
        <f>+F22+I22</f>
        <v>146090</v>
      </c>
      <c r="E22" s="623"/>
      <c r="F22" s="618"/>
      <c r="G22" s="619"/>
      <c r="H22" s="620"/>
      <c r="I22" s="297">
        <f>+'CA-GC+TRANSPORT'!D28</f>
        <v>146090</v>
      </c>
      <c r="J22" s="299">
        <v>0.19</v>
      </c>
      <c r="K22" s="621">
        <f>I22*J22</f>
        <v>27757.1</v>
      </c>
      <c r="L22" s="622"/>
    </row>
    <row r="23" spans="2:15" ht="14.4" customHeight="1">
      <c r="B23" s="174" t="s">
        <v>200</v>
      </c>
      <c r="C23" s="583" t="s">
        <v>201</v>
      </c>
      <c r="D23" s="618"/>
      <c r="E23" s="619"/>
      <c r="F23" s="618"/>
      <c r="G23" s="619"/>
      <c r="H23" s="620"/>
      <c r="I23" s="297"/>
      <c r="J23" s="300" t="s">
        <v>179</v>
      </c>
      <c r="K23" s="621">
        <f t="shared" ref="K23:K28" si="2">ROUND(I23*19%,0)</f>
        <v>0</v>
      </c>
      <c r="L23" s="622"/>
      <c r="O23" s="315"/>
    </row>
    <row r="24" spans="2:15" ht="14.4" customHeight="1">
      <c r="B24" s="174" t="s">
        <v>202</v>
      </c>
      <c r="C24" s="145" t="s">
        <v>203</v>
      </c>
      <c r="D24" s="618"/>
      <c r="E24" s="619"/>
      <c r="F24" s="618"/>
      <c r="G24" s="619"/>
      <c r="H24" s="620"/>
      <c r="I24" s="297"/>
      <c r="J24" s="300" t="s">
        <v>179</v>
      </c>
      <c r="K24" s="621">
        <f t="shared" si="2"/>
        <v>0</v>
      </c>
      <c r="L24" s="622"/>
    </row>
    <row r="25" spans="2:15" ht="14.4" customHeight="1">
      <c r="B25" s="174" t="s">
        <v>204</v>
      </c>
      <c r="C25" s="145" t="s">
        <v>205</v>
      </c>
      <c r="D25" s="618"/>
      <c r="E25" s="619"/>
      <c r="F25" s="618"/>
      <c r="G25" s="619"/>
      <c r="H25" s="620"/>
      <c r="I25" s="297"/>
      <c r="J25" s="300" t="s">
        <v>179</v>
      </c>
      <c r="K25" s="621">
        <f t="shared" si="2"/>
        <v>0</v>
      </c>
      <c r="L25" s="622"/>
    </row>
    <row r="26" spans="2:15" ht="14.4" customHeight="1">
      <c r="B26" s="174" t="s">
        <v>206</v>
      </c>
      <c r="C26" s="145" t="s">
        <v>207</v>
      </c>
      <c r="D26" s="618"/>
      <c r="E26" s="619"/>
      <c r="F26" s="618"/>
      <c r="G26" s="619"/>
      <c r="H26" s="620"/>
      <c r="I26" s="297"/>
      <c r="J26" s="300" t="s">
        <v>179</v>
      </c>
      <c r="K26" s="621">
        <f t="shared" si="2"/>
        <v>0</v>
      </c>
      <c r="L26" s="622"/>
    </row>
    <row r="27" spans="2:15" ht="14.4" customHeight="1">
      <c r="B27" s="174" t="s">
        <v>208</v>
      </c>
      <c r="C27" s="145" t="s">
        <v>209</v>
      </c>
      <c r="D27" s="618"/>
      <c r="E27" s="619"/>
      <c r="F27" s="618"/>
      <c r="G27" s="619"/>
      <c r="H27" s="620"/>
      <c r="I27" s="297"/>
      <c r="J27" s="300" t="s">
        <v>179</v>
      </c>
      <c r="K27" s="621">
        <f t="shared" si="2"/>
        <v>0</v>
      </c>
      <c r="L27" s="622"/>
    </row>
    <row r="28" spans="2:15" ht="14.4" customHeight="1">
      <c r="B28" s="174" t="s">
        <v>210</v>
      </c>
      <c r="C28" s="145" t="s">
        <v>211</v>
      </c>
      <c r="D28" s="618"/>
      <c r="E28" s="619"/>
      <c r="F28" s="618"/>
      <c r="G28" s="619"/>
      <c r="H28" s="620"/>
      <c r="I28" s="297"/>
      <c r="J28" s="316">
        <v>0.19</v>
      </c>
      <c r="K28" s="621">
        <f t="shared" si="2"/>
        <v>0</v>
      </c>
      <c r="L28" s="622"/>
    </row>
    <row r="29" spans="2:15" ht="14.4" customHeight="1">
      <c r="B29" s="174" t="s">
        <v>212</v>
      </c>
      <c r="C29" s="145" t="s">
        <v>213</v>
      </c>
      <c r="D29" s="618"/>
      <c r="E29" s="619"/>
      <c r="F29" s="618"/>
      <c r="G29" s="619"/>
      <c r="H29" s="620"/>
      <c r="I29" s="297"/>
      <c r="J29" s="300" t="s">
        <v>179</v>
      </c>
      <c r="K29" s="621">
        <f>SUM(I29*17/100)</f>
        <v>0</v>
      </c>
      <c r="L29" s="622"/>
    </row>
    <row r="30" spans="2:15" ht="20.25" customHeight="1" thickBot="1">
      <c r="B30" s="180"/>
      <c r="C30" s="317" t="s">
        <v>104</v>
      </c>
      <c r="D30" s="605">
        <f>SUM(D8:E29)</f>
        <v>146090</v>
      </c>
      <c r="E30" s="606"/>
      <c r="F30" s="605">
        <f>SUM(F8:H29)</f>
        <v>0</v>
      </c>
      <c r="G30" s="606"/>
      <c r="H30" s="607"/>
      <c r="I30" s="346">
        <f>SUM(I8:I29)</f>
        <v>146090</v>
      </c>
      <c r="J30" s="347"/>
      <c r="K30" s="608">
        <f>SUM(K16:L29)</f>
        <v>27757.1</v>
      </c>
      <c r="L30" s="609"/>
      <c r="M30" s="55">
        <f>+K17+K22</f>
        <v>27757.1</v>
      </c>
      <c r="O30" s="55"/>
    </row>
    <row r="31" spans="2:15" ht="16.5" customHeight="1" thickBot="1">
      <c r="B31" s="318"/>
      <c r="C31" s="319" t="s">
        <v>214</v>
      </c>
      <c r="G31" s="319" t="s">
        <v>215</v>
      </c>
      <c r="H31" s="167"/>
      <c r="I31" s="167"/>
    </row>
    <row r="32" spans="2:15" ht="14.25" customHeight="1">
      <c r="B32" s="318"/>
      <c r="C32" s="320" t="s">
        <v>216</v>
      </c>
      <c r="D32" s="321"/>
      <c r="E32" s="322" t="s">
        <v>217</v>
      </c>
      <c r="G32" s="123" t="s">
        <v>218</v>
      </c>
      <c r="H32" s="610" t="s">
        <v>219</v>
      </c>
      <c r="I32" s="611"/>
      <c r="J32" s="611"/>
      <c r="K32" s="612"/>
      <c r="L32" s="569">
        <f>K30</f>
        <v>27757.1</v>
      </c>
    </row>
    <row r="33" spans="2:17" ht="12.75" customHeight="1">
      <c r="B33" s="323" t="s">
        <v>220</v>
      </c>
      <c r="C33" s="613" t="s">
        <v>221</v>
      </c>
      <c r="D33" s="614"/>
      <c r="E33" s="324">
        <v>334502</v>
      </c>
      <c r="G33" s="325" t="s">
        <v>222</v>
      </c>
      <c r="H33" s="615" t="s">
        <v>223</v>
      </c>
      <c r="I33" s="616"/>
      <c r="J33" s="616"/>
      <c r="K33" s="617"/>
      <c r="L33" s="326"/>
    </row>
    <row r="34" spans="2:17" ht="15.6">
      <c r="B34" s="323" t="s">
        <v>224</v>
      </c>
      <c r="C34" s="597" t="s">
        <v>225</v>
      </c>
      <c r="D34" s="598"/>
      <c r="E34" s="327">
        <f>+'etat d''achat'!I13</f>
        <v>0</v>
      </c>
      <c r="G34" s="325"/>
      <c r="H34" s="599" t="s">
        <v>226</v>
      </c>
      <c r="I34" s="600"/>
      <c r="J34" s="600"/>
      <c r="K34" s="601"/>
      <c r="L34" s="570"/>
    </row>
    <row r="35" spans="2:17" ht="12.75" customHeight="1">
      <c r="B35" s="323" t="s">
        <v>227</v>
      </c>
      <c r="C35" s="597" t="s">
        <v>228</v>
      </c>
      <c r="D35" s="598"/>
      <c r="E35" s="327"/>
      <c r="G35" s="325" t="s">
        <v>229</v>
      </c>
      <c r="H35" s="571" t="s">
        <v>230</v>
      </c>
      <c r="I35" s="572"/>
      <c r="J35" s="572"/>
      <c r="K35" s="573"/>
      <c r="L35" s="570"/>
    </row>
    <row r="36" spans="2:17" ht="14.25" customHeight="1">
      <c r="B36" s="323" t="s">
        <v>231</v>
      </c>
      <c r="C36" s="597" t="s">
        <v>232</v>
      </c>
      <c r="D36" s="598"/>
      <c r="E36" s="324"/>
      <c r="G36" s="325"/>
      <c r="H36" s="574" t="s">
        <v>233</v>
      </c>
      <c r="I36" s="575"/>
      <c r="J36" s="575"/>
      <c r="K36" s="576"/>
      <c r="L36" s="577">
        <f>L32+L33+L35</f>
        <v>27757.1</v>
      </c>
    </row>
    <row r="37" spans="2:17" ht="15.6">
      <c r="B37" s="323" t="s">
        <v>234</v>
      </c>
      <c r="C37" s="597" t="s">
        <v>235</v>
      </c>
      <c r="D37" s="598"/>
      <c r="E37" s="324"/>
      <c r="G37" s="325" t="s">
        <v>236</v>
      </c>
      <c r="H37" s="602" t="s">
        <v>237</v>
      </c>
      <c r="I37" s="603"/>
      <c r="J37" s="603"/>
      <c r="K37" s="604"/>
      <c r="L37" s="578">
        <f>+E39</f>
        <v>334502</v>
      </c>
      <c r="P37" s="315"/>
      <c r="Q37" s="315"/>
    </row>
    <row r="38" spans="2:17" ht="13.5" customHeight="1" thickBot="1">
      <c r="B38" s="323" t="s">
        <v>238</v>
      </c>
      <c r="C38" s="589" t="s">
        <v>239</v>
      </c>
      <c r="D38" s="590"/>
      <c r="E38" s="328"/>
      <c r="G38" s="325" t="s">
        <v>240</v>
      </c>
      <c r="H38" s="591" t="s">
        <v>241</v>
      </c>
      <c r="I38" s="592"/>
      <c r="J38" s="592"/>
      <c r="K38" s="593"/>
      <c r="L38" s="577">
        <f>IF((L36-L37)&gt;0,L36-L37,0)</f>
        <v>0</v>
      </c>
      <c r="M38" s="218">
        <v>7</v>
      </c>
    </row>
    <row r="39" spans="2:17" ht="13.5" customHeight="1">
      <c r="B39" s="329"/>
      <c r="C39" s="330" t="s">
        <v>242</v>
      </c>
      <c r="D39" s="331"/>
      <c r="E39" s="568">
        <f>+E34+E33</f>
        <v>334502</v>
      </c>
      <c r="G39" s="332"/>
      <c r="H39" s="579" t="s">
        <v>243</v>
      </c>
      <c r="I39" s="580"/>
      <c r="J39" s="580"/>
      <c r="K39" s="581"/>
      <c r="L39" s="582"/>
      <c r="P39" s="315"/>
      <c r="Q39" s="315"/>
    </row>
    <row r="40" spans="2:17" ht="12.75" customHeight="1">
      <c r="B40" s="329"/>
      <c r="C40" s="2"/>
      <c r="D40" s="333"/>
      <c r="E40" s="334"/>
      <c r="G40" s="332" t="s">
        <v>244</v>
      </c>
      <c r="H40" s="594" t="s">
        <v>245</v>
      </c>
      <c r="I40" s="595"/>
      <c r="J40" s="595"/>
      <c r="K40" s="596"/>
      <c r="L40" s="584">
        <f>IF((L36-L37)&lt;0,-L36+L37,0)</f>
        <v>306744.90000000002</v>
      </c>
    </row>
    <row r="41" spans="2:17" ht="15" thickBot="1">
      <c r="B41" s="335"/>
      <c r="C41" s="112"/>
      <c r="D41" s="336"/>
      <c r="E41" s="337"/>
      <c r="G41" s="50"/>
      <c r="H41" s="585"/>
      <c r="I41" s="282"/>
      <c r="J41" s="282"/>
      <c r="K41" s="586"/>
      <c r="L41" s="587"/>
      <c r="P41" s="315"/>
      <c r="Q41" s="315"/>
    </row>
    <row r="42" spans="2:17" ht="14.4" customHeight="1"/>
    <row r="43" spans="2:17" ht="4.5" customHeight="1"/>
    <row r="45" spans="2:17">
      <c r="N45" s="529"/>
      <c r="Q45" s="529"/>
    </row>
  </sheetData>
  <mergeCells count="83">
    <mergeCell ref="D7:E7"/>
    <mergeCell ref="F7:H7"/>
    <mergeCell ref="K7:L7"/>
    <mergeCell ref="D2:J2"/>
    <mergeCell ref="D4:J4"/>
    <mergeCell ref="D6:E6"/>
    <mergeCell ref="F6:H6"/>
    <mergeCell ref="K6:L6"/>
    <mergeCell ref="D8:E8"/>
    <mergeCell ref="F8:H8"/>
    <mergeCell ref="K8:L8"/>
    <mergeCell ref="D9:E9"/>
    <mergeCell ref="F9:H9"/>
    <mergeCell ref="K9:L9"/>
    <mergeCell ref="D10:E10"/>
    <mergeCell ref="F10:H10"/>
    <mergeCell ref="K10:L10"/>
    <mergeCell ref="D11:E11"/>
    <mergeCell ref="F11:H11"/>
    <mergeCell ref="K11:L11"/>
    <mergeCell ref="D12:E12"/>
    <mergeCell ref="F12:H12"/>
    <mergeCell ref="K12:L12"/>
    <mergeCell ref="D13:E13"/>
    <mergeCell ref="F13:H13"/>
    <mergeCell ref="K13:L13"/>
    <mergeCell ref="D16:E16"/>
    <mergeCell ref="F16:H16"/>
    <mergeCell ref="K16:L16"/>
    <mergeCell ref="D17:E17"/>
    <mergeCell ref="F17:H17"/>
    <mergeCell ref="K17:L17"/>
    <mergeCell ref="D18:E18"/>
    <mergeCell ref="F18:H18"/>
    <mergeCell ref="K18:L18"/>
    <mergeCell ref="D19:E19"/>
    <mergeCell ref="F19:H19"/>
    <mergeCell ref="K19:L19"/>
    <mergeCell ref="D20:E20"/>
    <mergeCell ref="F20:H20"/>
    <mergeCell ref="K20:L20"/>
    <mergeCell ref="D21:E21"/>
    <mergeCell ref="F21:H21"/>
    <mergeCell ref="K21:L21"/>
    <mergeCell ref="D22:E22"/>
    <mergeCell ref="F22:H22"/>
    <mergeCell ref="K22:L22"/>
    <mergeCell ref="D23:E23"/>
    <mergeCell ref="F23:H23"/>
    <mergeCell ref="K23:L23"/>
    <mergeCell ref="D24:E24"/>
    <mergeCell ref="F24:H24"/>
    <mergeCell ref="K24:L24"/>
    <mergeCell ref="D25:E25"/>
    <mergeCell ref="F25:H25"/>
    <mergeCell ref="K25:L25"/>
    <mergeCell ref="D26:E26"/>
    <mergeCell ref="F26:H26"/>
    <mergeCell ref="K26:L26"/>
    <mergeCell ref="D27:E27"/>
    <mergeCell ref="F27:H27"/>
    <mergeCell ref="K27:L27"/>
    <mergeCell ref="D28:E28"/>
    <mergeCell ref="F28:H28"/>
    <mergeCell ref="K28:L28"/>
    <mergeCell ref="D29:E29"/>
    <mergeCell ref="F29:H29"/>
    <mergeCell ref="K29:L29"/>
    <mergeCell ref="D30:E30"/>
    <mergeCell ref="F30:H30"/>
    <mergeCell ref="K30:L30"/>
    <mergeCell ref="H32:K32"/>
    <mergeCell ref="C33:D33"/>
    <mergeCell ref="H33:K33"/>
    <mergeCell ref="C38:D38"/>
    <mergeCell ref="H38:K38"/>
    <mergeCell ref="H40:K40"/>
    <mergeCell ref="C34:D34"/>
    <mergeCell ref="H34:K34"/>
    <mergeCell ref="C35:D35"/>
    <mergeCell ref="C36:D36"/>
    <mergeCell ref="C37:D37"/>
    <mergeCell ref="H37:K37"/>
  </mergeCells>
  <pageMargins left="0.70866141732283472" right="0.70866141732283472" top="0.31496062992125984" bottom="0.39370078740157483" header="0.31496062992125984" footer="0.31496062992125984"/>
  <pageSetup paperSize="9" scale="8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1]!afficheDCL">
                <anchor moveWithCells="1">
                  <from>
                    <xdr:col>0</xdr:col>
                    <xdr:colOff>114300</xdr:colOff>
                    <xdr:row>0</xdr:row>
                    <xdr:rowOff>38100</xdr:rowOff>
                  </from>
                  <to>
                    <xdr:col>1</xdr:col>
                    <xdr:colOff>518160</xdr:colOff>
                    <xdr:row>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Button 2">
              <controlPr defaultSize="0" print="0" autoFill="0" autoPict="0" macro="[1]!afficheDCL">
                <anchor moveWithCells="1">
                  <from>
                    <xdr:col>2</xdr:col>
                    <xdr:colOff>1287780</xdr:colOff>
                    <xdr:row>39</xdr:row>
                    <xdr:rowOff>45720</xdr:rowOff>
                  </from>
                  <to>
                    <xdr:col>2</xdr:col>
                    <xdr:colOff>1889760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Button 3">
              <controlPr defaultSize="0" print="0" autoFill="0" autoPict="0" macro="[1]!Afficher_id">
                <anchor moveWithCells="1">
                  <from>
                    <xdr:col>2</xdr:col>
                    <xdr:colOff>2026920</xdr:colOff>
                    <xdr:row>39</xdr:row>
                    <xdr:rowOff>38100</xdr:rowOff>
                  </from>
                  <to>
                    <xdr:col>3</xdr:col>
                    <xdr:colOff>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 macro="[1]!Afficher_id">
                <anchor moveWithCells="1">
                  <from>
                    <xdr:col>1</xdr:col>
                    <xdr:colOff>480060</xdr:colOff>
                    <xdr:row>0</xdr:row>
                    <xdr:rowOff>38100</xdr:rowOff>
                  </from>
                  <to>
                    <xdr:col>2</xdr:col>
                    <xdr:colOff>220980</xdr:colOff>
                    <xdr:row>1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249977111117893"/>
  </sheetPr>
  <dimension ref="A1:DJ45"/>
  <sheetViews>
    <sheetView topLeftCell="A20" zoomScaleNormal="100" workbookViewId="0">
      <selection activeCell="AW22" sqref="AW22"/>
    </sheetView>
  </sheetViews>
  <sheetFormatPr baseColWidth="10" defaultColWidth="11.5546875" defaultRowHeight="14.4"/>
  <cols>
    <col min="1" max="1" width="2.33203125" style="353" customWidth="1"/>
    <col min="2" max="28" width="1.88671875" style="353" customWidth="1"/>
    <col min="29" max="29" width="2.44140625" style="353" customWidth="1"/>
    <col min="30" max="70" width="1.88671875" style="353" customWidth="1"/>
    <col min="71" max="71" width="0.88671875" style="353" customWidth="1"/>
    <col min="72" max="72" width="1.88671875" style="353" hidden="1" customWidth="1"/>
    <col min="73" max="73" width="0.6640625" style="353" customWidth="1"/>
    <col min="74" max="88" width="1.88671875" style="353" customWidth="1"/>
    <col min="89" max="89" width="0.88671875" style="353" customWidth="1"/>
    <col min="90" max="90" width="1.88671875" style="353" hidden="1" customWidth="1"/>
    <col min="91" max="91" width="2.33203125" style="353" customWidth="1"/>
    <col min="92" max="93" width="1.88671875" style="353" customWidth="1"/>
    <col min="94" max="94" width="2.5546875" style="353" customWidth="1"/>
    <col min="95" max="100" width="1.88671875" style="353" customWidth="1"/>
    <col min="101" max="101" width="2.109375" style="353" customWidth="1"/>
    <col min="102" max="104" width="2.33203125" style="353" customWidth="1"/>
    <col min="105" max="16384" width="11.5546875" style="353"/>
  </cols>
  <sheetData>
    <row r="1" spans="1:105" ht="7.5" customHeight="1" thickBot="1"/>
    <row r="2" spans="1:105" ht="4.5" customHeight="1" thickTop="1">
      <c r="A2" s="354"/>
      <c r="B2" s="355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6"/>
      <c r="AO2" s="356"/>
      <c r="AP2" s="356"/>
      <c r="AQ2" s="356"/>
      <c r="AR2" s="356"/>
      <c r="AS2" s="356"/>
      <c r="AT2" s="356"/>
      <c r="AU2" s="356"/>
      <c r="AV2" s="356"/>
      <c r="AW2" s="356"/>
      <c r="AX2" s="356"/>
      <c r="AY2" s="356"/>
      <c r="AZ2" s="356"/>
      <c r="BA2" s="356"/>
      <c r="BB2" s="356"/>
      <c r="BC2" s="356"/>
      <c r="BD2" s="356"/>
      <c r="BE2" s="356"/>
      <c r="BF2" s="356"/>
      <c r="BG2" s="356"/>
      <c r="BH2" s="356"/>
      <c r="BI2" s="356"/>
      <c r="BJ2" s="356"/>
      <c r="BK2" s="356"/>
      <c r="BL2" s="356"/>
      <c r="BM2" s="356"/>
      <c r="BN2" s="356"/>
      <c r="BO2" s="356"/>
      <c r="BP2" s="356"/>
      <c r="BQ2" s="356"/>
      <c r="BR2" s="356"/>
      <c r="BS2" s="356"/>
      <c r="BT2" s="356"/>
      <c r="BU2" s="356"/>
      <c r="BV2" s="356"/>
      <c r="BW2" s="356"/>
      <c r="BX2" s="356"/>
      <c r="BY2" s="356"/>
      <c r="BZ2" s="356"/>
      <c r="CA2" s="356"/>
      <c r="CB2" s="356"/>
      <c r="CC2" s="356"/>
      <c r="CD2" s="356"/>
      <c r="CE2" s="356"/>
      <c r="CF2" s="356"/>
      <c r="CG2" s="356"/>
      <c r="CH2" s="356"/>
      <c r="CI2" s="356"/>
      <c r="CJ2" s="356"/>
      <c r="CK2" s="356"/>
      <c r="CL2" s="356"/>
      <c r="CM2" s="356"/>
      <c r="CN2" s="356"/>
      <c r="CO2" s="356"/>
      <c r="CP2" s="356"/>
      <c r="CQ2" s="356"/>
      <c r="CR2" s="356"/>
      <c r="CS2" s="356"/>
      <c r="CT2" s="356"/>
      <c r="CU2" s="356"/>
      <c r="CV2" s="356"/>
      <c r="CW2" s="356"/>
      <c r="CX2" s="357"/>
    </row>
    <row r="3" spans="1:105" ht="22.5" customHeight="1">
      <c r="A3" s="358"/>
      <c r="B3" s="733" t="s">
        <v>253</v>
      </c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733"/>
      <c r="O3" s="733"/>
      <c r="P3" s="733"/>
      <c r="Q3" s="733"/>
      <c r="R3" s="733"/>
      <c r="S3" s="733"/>
      <c r="T3" s="733"/>
      <c r="U3" s="733"/>
      <c r="V3" s="733"/>
      <c r="W3" s="733"/>
      <c r="X3" s="733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359"/>
      <c r="CK3" s="359"/>
      <c r="CL3" s="360"/>
      <c r="CM3" s="734" t="s">
        <v>254</v>
      </c>
      <c r="CN3" s="735"/>
      <c r="CO3" s="735"/>
      <c r="CP3" s="735"/>
      <c r="CQ3" s="735"/>
      <c r="CR3" s="735"/>
      <c r="CS3" s="735"/>
      <c r="CT3" s="735"/>
      <c r="CU3" s="735"/>
      <c r="CV3" s="735"/>
      <c r="CW3" s="736"/>
      <c r="CX3" s="361"/>
    </row>
    <row r="4" spans="1:105" ht="22.5" customHeight="1">
      <c r="A4" s="358"/>
      <c r="B4" s="737" t="s">
        <v>255</v>
      </c>
      <c r="C4" s="737"/>
      <c r="D4" s="737"/>
      <c r="E4" s="737"/>
      <c r="F4" s="737"/>
      <c r="G4" s="737"/>
      <c r="H4" s="737"/>
      <c r="I4" s="737"/>
      <c r="J4" s="737"/>
      <c r="K4" s="737"/>
      <c r="L4" s="737"/>
      <c r="M4" s="737"/>
      <c r="N4" s="737"/>
      <c r="O4" s="737"/>
      <c r="P4" s="737"/>
      <c r="Q4" s="737"/>
      <c r="R4" s="737"/>
      <c r="S4" s="737"/>
      <c r="T4" s="737"/>
      <c r="U4" s="737"/>
      <c r="V4" s="737"/>
      <c r="W4" s="737"/>
      <c r="X4" s="737"/>
      <c r="Y4" s="737"/>
      <c r="Z4" s="737"/>
      <c r="AA4" s="737"/>
      <c r="AB4" s="737"/>
      <c r="AC4" s="737"/>
      <c r="AD4" s="737"/>
      <c r="AE4" s="737"/>
      <c r="AF4" s="737"/>
      <c r="AG4" s="737"/>
      <c r="AH4" s="737"/>
      <c r="AI4" s="737"/>
      <c r="AJ4" s="737"/>
      <c r="AK4" s="737"/>
      <c r="AL4" s="737"/>
      <c r="AM4" s="737"/>
      <c r="AN4" s="737"/>
      <c r="AO4" s="737"/>
      <c r="AP4" s="737"/>
      <c r="AQ4" s="737"/>
      <c r="AR4" s="737"/>
      <c r="AS4" s="737"/>
      <c r="AT4" s="737"/>
      <c r="AU4" s="737"/>
      <c r="AV4" s="737"/>
      <c r="AW4" s="737"/>
      <c r="AX4" s="737"/>
      <c r="AY4" s="737"/>
      <c r="AZ4" s="737"/>
      <c r="BA4" s="737"/>
      <c r="BB4" s="737"/>
      <c r="BC4" s="737"/>
      <c r="BD4" s="737"/>
      <c r="BE4" s="737"/>
      <c r="BF4" s="737"/>
      <c r="BG4" s="737"/>
      <c r="BH4" s="737"/>
      <c r="BI4" s="737"/>
      <c r="BJ4" s="737"/>
      <c r="BK4" s="737"/>
      <c r="BL4" s="737"/>
      <c r="BM4" s="737"/>
      <c r="BN4" s="737"/>
      <c r="BO4" s="737"/>
      <c r="BP4" s="737"/>
      <c r="BQ4" s="737"/>
      <c r="BR4" s="737"/>
      <c r="BS4" s="737"/>
      <c r="BT4" s="737"/>
      <c r="BU4" s="737"/>
      <c r="BV4" s="737"/>
      <c r="BW4" s="737"/>
      <c r="BX4" s="737"/>
      <c r="BY4" s="737"/>
      <c r="BZ4" s="737"/>
      <c r="CA4" s="737"/>
      <c r="CB4" s="737"/>
      <c r="CC4" s="737"/>
      <c r="CD4" s="737"/>
      <c r="CE4" s="737"/>
      <c r="CF4" s="737"/>
      <c r="CG4" s="737"/>
      <c r="CH4" s="737"/>
      <c r="CI4" s="737"/>
      <c r="CJ4" s="737"/>
      <c r="CK4" s="737"/>
      <c r="CL4" s="362"/>
      <c r="CM4" s="362"/>
      <c r="CN4" s="362"/>
      <c r="CO4" s="362"/>
      <c r="CP4" s="362"/>
      <c r="CQ4" s="362"/>
      <c r="CR4" s="362"/>
      <c r="CS4" s="362"/>
      <c r="CT4" s="362"/>
      <c r="CU4" s="362"/>
      <c r="CV4" s="362"/>
      <c r="CX4" s="361"/>
    </row>
    <row r="5" spans="1:105" ht="7.5" customHeight="1">
      <c r="A5" s="358"/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3"/>
      <c r="AF5" s="363"/>
      <c r="AG5" s="363"/>
      <c r="AH5" s="363"/>
      <c r="AI5" s="363"/>
      <c r="AJ5" s="363"/>
      <c r="AK5" s="363"/>
      <c r="AL5" s="363"/>
      <c r="AM5" s="363"/>
      <c r="AN5" s="363"/>
      <c r="AO5" s="363"/>
      <c r="AP5" s="363"/>
      <c r="AQ5" s="363"/>
      <c r="AR5" s="363"/>
      <c r="AS5" s="363"/>
      <c r="AT5" s="363"/>
      <c r="AU5" s="363"/>
      <c r="AV5" s="363"/>
      <c r="AW5" s="363"/>
      <c r="AX5" s="363"/>
      <c r="AY5" s="363"/>
      <c r="AZ5" s="363"/>
      <c r="BA5" s="363"/>
      <c r="BB5" s="363"/>
      <c r="BC5" s="363"/>
      <c r="BD5" s="363"/>
      <c r="BE5" s="363"/>
      <c r="BF5" s="363"/>
      <c r="BG5" s="363"/>
      <c r="BH5" s="363"/>
      <c r="BI5" s="363"/>
      <c r="BJ5" s="363"/>
      <c r="BK5" s="363"/>
      <c r="BL5" s="363"/>
      <c r="BM5" s="363"/>
      <c r="BN5" s="363"/>
      <c r="BO5" s="363"/>
      <c r="BP5" s="363"/>
      <c r="BQ5" s="363"/>
      <c r="BR5" s="363"/>
      <c r="BS5" s="363"/>
      <c r="BT5" s="363"/>
      <c r="BU5" s="363"/>
      <c r="BV5" s="363"/>
      <c r="BW5" s="363"/>
      <c r="BX5" s="363"/>
      <c r="BY5" s="363"/>
      <c r="BZ5" s="363"/>
      <c r="CA5" s="363"/>
      <c r="CB5" s="363"/>
      <c r="CC5" s="363"/>
      <c r="CD5" s="363"/>
      <c r="CE5" s="363"/>
      <c r="CF5" s="363"/>
      <c r="CG5" s="363"/>
      <c r="CH5" s="363"/>
      <c r="CI5" s="363"/>
      <c r="CJ5" s="363"/>
      <c r="CK5" s="363"/>
      <c r="CL5" s="363"/>
      <c r="CM5" s="363"/>
      <c r="CN5" s="363"/>
      <c r="CO5" s="363"/>
      <c r="CP5" s="363"/>
      <c r="CQ5" s="363"/>
      <c r="CR5" s="363"/>
      <c r="CS5" s="363"/>
      <c r="CT5" s="363"/>
      <c r="CU5" s="363"/>
      <c r="CV5" s="363"/>
      <c r="CX5" s="361"/>
    </row>
    <row r="6" spans="1:105" s="367" customFormat="1" ht="16.5" customHeight="1">
      <c r="A6" s="364"/>
      <c r="B6" s="365" t="s">
        <v>256</v>
      </c>
      <c r="C6" s="366"/>
      <c r="D6" s="366"/>
      <c r="E6" s="366"/>
      <c r="F6" s="366"/>
      <c r="G6" s="366"/>
      <c r="H6" s="366"/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CM6" s="368"/>
      <c r="CN6" s="368"/>
      <c r="CO6" s="368"/>
      <c r="CP6" s="368"/>
      <c r="CQ6" s="368"/>
      <c r="CR6" s="368"/>
      <c r="CS6" s="368"/>
      <c r="CT6" s="368"/>
      <c r="CU6" s="368"/>
      <c r="CV6" s="368"/>
      <c r="CW6" s="369" t="s">
        <v>257</v>
      </c>
      <c r="CX6" s="370"/>
    </row>
    <row r="7" spans="1:105" s="367" customFormat="1" ht="16.5" customHeight="1">
      <c r="A7" s="364"/>
      <c r="B7" s="365" t="s">
        <v>258</v>
      </c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CM7" s="368"/>
      <c r="CN7" s="368"/>
      <c r="CO7" s="368"/>
      <c r="CP7" s="368"/>
      <c r="CQ7" s="368"/>
      <c r="CR7" s="368"/>
      <c r="CS7" s="368"/>
      <c r="CT7" s="368"/>
      <c r="CU7" s="368"/>
      <c r="CV7" s="371"/>
      <c r="CW7" s="368" t="s">
        <v>259</v>
      </c>
      <c r="CX7" s="370"/>
    </row>
    <row r="8" spans="1:105" s="367" customFormat="1" ht="16.5" customHeight="1">
      <c r="A8" s="364"/>
      <c r="B8" s="372" t="s">
        <v>260</v>
      </c>
      <c r="C8" s="365"/>
      <c r="D8" s="365"/>
      <c r="E8" s="365"/>
      <c r="F8" s="365"/>
      <c r="G8" s="373"/>
      <c r="H8" s="373"/>
      <c r="I8" s="738" t="str">
        <f>+'[3]Saisie-client'!C7</f>
        <v>SIDI BEL ABBES</v>
      </c>
      <c r="J8" s="738"/>
      <c r="K8" s="738"/>
      <c r="L8" s="738"/>
      <c r="M8" s="738"/>
      <c r="N8" s="738"/>
      <c r="O8" s="738"/>
      <c r="P8" s="738"/>
      <c r="Q8" s="738"/>
      <c r="R8" s="738"/>
      <c r="S8" s="738"/>
      <c r="T8" s="738"/>
      <c r="U8" s="738"/>
      <c r="V8" s="738"/>
      <c r="W8" s="738"/>
      <c r="X8" s="738"/>
      <c r="Y8" s="738"/>
      <c r="Z8" s="738"/>
      <c r="AA8" s="738"/>
      <c r="AB8" s="738"/>
      <c r="AC8" s="738"/>
      <c r="CB8" s="374"/>
      <c r="CC8" s="374"/>
      <c r="CD8" s="374"/>
      <c r="CE8" s="374"/>
      <c r="CF8" s="374"/>
      <c r="CG8" s="374"/>
      <c r="CH8" s="374"/>
      <c r="CI8" s="374"/>
      <c r="CJ8" s="374"/>
      <c r="CK8" s="374"/>
      <c r="CL8" s="374"/>
      <c r="CM8" s="375"/>
      <c r="CN8" s="375"/>
      <c r="CO8" s="375"/>
      <c r="CP8" s="375"/>
      <c r="CQ8" s="375"/>
      <c r="CR8" s="375"/>
      <c r="CS8" s="375"/>
      <c r="CT8" s="375"/>
      <c r="CU8" s="368"/>
      <c r="CV8" s="368"/>
      <c r="CW8" s="376" t="s">
        <v>261</v>
      </c>
      <c r="CX8" s="370"/>
    </row>
    <row r="9" spans="1:105" s="367" customFormat="1" ht="16.5" customHeight="1">
      <c r="A9" s="364"/>
      <c r="B9" s="377" t="s">
        <v>262</v>
      </c>
      <c r="C9" s="366"/>
      <c r="D9" s="366"/>
      <c r="E9" s="366"/>
      <c r="F9" s="366"/>
      <c r="G9" s="366"/>
      <c r="H9" s="366"/>
      <c r="I9" s="738" t="str">
        <f>+'[3]Saisie-client'!C10</f>
        <v>SBA</v>
      </c>
      <c r="J9" s="738"/>
      <c r="K9" s="738"/>
      <c r="L9" s="738"/>
      <c r="M9" s="738"/>
      <c r="N9" s="738"/>
      <c r="O9" s="738"/>
      <c r="P9" s="738"/>
      <c r="Q9" s="738"/>
      <c r="R9" s="738"/>
      <c r="S9" s="738"/>
      <c r="T9" s="738"/>
      <c r="U9" s="738"/>
      <c r="V9" s="738"/>
      <c r="W9" s="738"/>
      <c r="X9" s="738"/>
      <c r="Y9" s="738"/>
      <c r="Z9" s="738"/>
      <c r="AA9" s="738"/>
      <c r="AB9" s="738"/>
      <c r="AC9" s="738"/>
      <c r="BT9" s="374"/>
      <c r="CB9" s="378"/>
      <c r="CC9" s="378"/>
      <c r="CD9" s="378"/>
      <c r="CE9" s="378"/>
      <c r="CF9" s="378"/>
      <c r="CG9" s="378"/>
      <c r="CH9" s="378"/>
      <c r="CI9" s="378"/>
      <c r="CJ9" s="378"/>
      <c r="CK9" s="378"/>
      <c r="CL9" s="378"/>
      <c r="CM9" s="379"/>
      <c r="CN9" s="379"/>
      <c r="CO9" s="379"/>
      <c r="CP9" s="379"/>
      <c r="CQ9" s="379"/>
      <c r="CR9" s="379"/>
      <c r="CS9" s="379"/>
      <c r="CT9" s="368"/>
      <c r="CU9" s="368"/>
      <c r="CV9" s="368"/>
      <c r="CW9" s="380" t="s">
        <v>263</v>
      </c>
      <c r="CX9" s="381"/>
      <c r="CY9" s="382"/>
      <c r="CZ9" s="382"/>
      <c r="DA9" s="382"/>
    </row>
    <row r="10" spans="1:105" s="367" customFormat="1" ht="12.75" customHeight="1">
      <c r="A10" s="383"/>
      <c r="B10" s="384"/>
      <c r="G10" s="385"/>
      <c r="H10" s="386"/>
      <c r="I10" s="386"/>
      <c r="J10" s="386"/>
      <c r="K10" s="386"/>
      <c r="L10" s="386"/>
      <c r="M10" s="386"/>
      <c r="N10" s="386"/>
      <c r="O10" s="386"/>
      <c r="P10" s="386"/>
      <c r="Q10" s="386"/>
      <c r="R10" s="386"/>
      <c r="S10" s="386"/>
      <c r="T10" s="386"/>
      <c r="U10" s="386"/>
      <c r="V10" s="386"/>
      <c r="W10" s="386"/>
      <c r="CM10" s="368"/>
      <c r="CN10" s="368"/>
      <c r="CO10" s="368"/>
      <c r="CP10" s="368"/>
      <c r="CQ10" s="368"/>
      <c r="CR10" s="368"/>
      <c r="CS10" s="368"/>
      <c r="CT10" s="368"/>
      <c r="CU10" s="368"/>
      <c r="CV10" s="368"/>
      <c r="CW10" s="387"/>
      <c r="CX10" s="381"/>
      <c r="CY10" s="382"/>
      <c r="CZ10" s="382"/>
      <c r="DA10" s="382"/>
    </row>
    <row r="11" spans="1:105" s="367" customFormat="1" ht="18.75" customHeight="1">
      <c r="A11" s="383"/>
      <c r="B11" s="722" t="s">
        <v>264</v>
      </c>
      <c r="C11" s="722"/>
      <c r="D11" s="722"/>
      <c r="E11" s="722"/>
      <c r="F11" s="722"/>
      <c r="G11" s="722"/>
      <c r="H11" s="722"/>
      <c r="I11" s="722"/>
      <c r="J11" s="722"/>
      <c r="K11" s="722"/>
      <c r="L11" s="722"/>
      <c r="M11" s="722"/>
      <c r="N11" s="722"/>
      <c r="O11" s="722"/>
      <c r="P11" s="722"/>
      <c r="Q11" s="722"/>
      <c r="R11" s="722"/>
      <c r="S11" s="722"/>
      <c r="T11" s="722"/>
      <c r="U11" s="722"/>
      <c r="V11" s="722"/>
      <c r="W11" s="722"/>
      <c r="X11" s="722"/>
      <c r="Y11" s="722"/>
      <c r="Z11" s="722"/>
      <c r="AA11" s="722"/>
      <c r="AB11" s="722"/>
      <c r="AC11" s="722"/>
      <c r="AD11" s="722"/>
      <c r="AE11" s="722"/>
      <c r="AF11" s="722"/>
      <c r="AG11" s="722"/>
      <c r="AH11" s="722"/>
      <c r="AI11" s="722"/>
      <c r="AJ11" s="722"/>
      <c r="AK11" s="722"/>
      <c r="AL11" s="722"/>
      <c r="AM11" s="722"/>
      <c r="AN11" s="722"/>
      <c r="AO11" s="722"/>
      <c r="AP11" s="722"/>
      <c r="AQ11" s="722"/>
      <c r="AR11" s="722"/>
      <c r="AS11" s="722"/>
      <c r="AT11" s="722"/>
      <c r="AU11" s="722"/>
      <c r="AV11" s="722"/>
      <c r="AW11" s="722"/>
      <c r="AX11" s="722"/>
      <c r="AY11" s="722"/>
      <c r="AZ11" s="722"/>
      <c r="BA11" s="722"/>
      <c r="BB11" s="722"/>
      <c r="BC11" s="722"/>
      <c r="BD11" s="722"/>
      <c r="BE11" s="722"/>
      <c r="BF11" s="722"/>
      <c r="BG11" s="722"/>
      <c r="BH11" s="722"/>
      <c r="BI11" s="722"/>
      <c r="BJ11" s="722"/>
      <c r="BK11" s="722"/>
      <c r="BL11" s="722"/>
      <c r="BM11" s="722"/>
      <c r="BN11" s="722"/>
      <c r="BO11" s="722"/>
      <c r="BP11" s="722"/>
      <c r="BQ11" s="722"/>
      <c r="BR11" s="722"/>
      <c r="BS11" s="722"/>
      <c r="BT11" s="722"/>
      <c r="BU11" s="722"/>
      <c r="BV11" s="722"/>
      <c r="BW11" s="722"/>
      <c r="BX11" s="722"/>
      <c r="BY11" s="722"/>
      <c r="BZ11" s="722"/>
      <c r="CA11" s="722"/>
      <c r="CB11" s="722"/>
      <c r="CC11" s="722"/>
      <c r="CD11" s="722"/>
      <c r="CE11" s="722"/>
      <c r="CF11" s="722"/>
      <c r="CG11" s="722"/>
      <c r="CH11" s="722"/>
      <c r="CI11" s="722"/>
      <c r="CJ11" s="722"/>
      <c r="CK11" s="722"/>
      <c r="CL11" s="722"/>
      <c r="CM11" s="722"/>
      <c r="CN11" s="722"/>
      <c r="CO11" s="722"/>
      <c r="CP11" s="722"/>
      <c r="CQ11" s="722"/>
      <c r="CR11" s="722"/>
      <c r="CS11" s="722"/>
      <c r="CT11" s="722"/>
      <c r="CU11" s="722"/>
      <c r="CV11" s="722"/>
      <c r="CW11" s="722"/>
      <c r="CX11" s="381"/>
    </row>
    <row r="12" spans="1:105" s="388" customFormat="1" ht="18.75" customHeight="1">
      <c r="A12" s="383"/>
      <c r="B12" s="722" t="s">
        <v>265</v>
      </c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2"/>
      <c r="N12" s="722"/>
      <c r="O12" s="722"/>
      <c r="P12" s="722"/>
      <c r="Q12" s="722"/>
      <c r="R12" s="722"/>
      <c r="S12" s="722"/>
      <c r="T12" s="722"/>
      <c r="U12" s="722"/>
      <c r="V12" s="722"/>
      <c r="W12" s="722"/>
      <c r="X12" s="722"/>
      <c r="Y12" s="722"/>
      <c r="Z12" s="722"/>
      <c r="AA12" s="722"/>
      <c r="AB12" s="722"/>
      <c r="AC12" s="722"/>
      <c r="AD12" s="722"/>
      <c r="AE12" s="722"/>
      <c r="AF12" s="722"/>
      <c r="AG12" s="722"/>
      <c r="AH12" s="722"/>
      <c r="AI12" s="722"/>
      <c r="AJ12" s="722"/>
      <c r="AK12" s="722"/>
      <c r="AL12" s="722"/>
      <c r="AM12" s="722"/>
      <c r="AN12" s="722"/>
      <c r="AO12" s="722"/>
      <c r="AP12" s="722"/>
      <c r="AQ12" s="722"/>
      <c r="AR12" s="722"/>
      <c r="AS12" s="722"/>
      <c r="AT12" s="722"/>
      <c r="AU12" s="722"/>
      <c r="AV12" s="722"/>
      <c r="AW12" s="722"/>
      <c r="AX12" s="722"/>
      <c r="AY12" s="722"/>
      <c r="AZ12" s="722"/>
      <c r="BA12" s="722"/>
      <c r="BB12" s="722"/>
      <c r="BC12" s="722"/>
      <c r="BD12" s="722"/>
      <c r="BE12" s="722"/>
      <c r="BF12" s="722"/>
      <c r="BG12" s="722"/>
      <c r="BH12" s="722"/>
      <c r="BI12" s="722"/>
      <c r="BJ12" s="722"/>
      <c r="BK12" s="722"/>
      <c r="BL12" s="722"/>
      <c r="BM12" s="722"/>
      <c r="BN12" s="722"/>
      <c r="BO12" s="722"/>
      <c r="BP12" s="722"/>
      <c r="BQ12" s="722"/>
      <c r="BR12" s="722"/>
      <c r="BS12" s="722"/>
      <c r="BT12" s="722"/>
      <c r="BU12" s="722"/>
      <c r="BV12" s="722"/>
      <c r="BW12" s="722"/>
      <c r="BX12" s="722"/>
      <c r="BY12" s="722"/>
      <c r="BZ12" s="722"/>
      <c r="CA12" s="722"/>
      <c r="CB12" s="722"/>
      <c r="CC12" s="722"/>
      <c r="CD12" s="722"/>
      <c r="CE12" s="722"/>
      <c r="CF12" s="722"/>
      <c r="CG12" s="722"/>
      <c r="CH12" s="722"/>
      <c r="CI12" s="722"/>
      <c r="CJ12" s="722"/>
      <c r="CK12" s="722"/>
      <c r="CL12" s="722"/>
      <c r="CM12" s="722"/>
      <c r="CN12" s="722"/>
      <c r="CO12" s="722"/>
      <c r="CP12" s="722"/>
      <c r="CQ12" s="722"/>
      <c r="CR12" s="722"/>
      <c r="CS12" s="722"/>
      <c r="CT12" s="722"/>
      <c r="CU12" s="722"/>
      <c r="CV12" s="722"/>
      <c r="CW12" s="722"/>
      <c r="CX12" s="381"/>
    </row>
    <row r="13" spans="1:105" s="389" customFormat="1" ht="18.75" customHeight="1">
      <c r="A13" s="383"/>
      <c r="B13" s="723" t="s">
        <v>266</v>
      </c>
      <c r="C13" s="723"/>
      <c r="D13" s="723"/>
      <c r="E13" s="723"/>
      <c r="F13" s="723"/>
      <c r="G13" s="723"/>
      <c r="H13" s="723"/>
      <c r="I13" s="723"/>
      <c r="J13" s="723"/>
      <c r="K13" s="723"/>
      <c r="L13" s="723"/>
      <c r="M13" s="723"/>
      <c r="N13" s="723"/>
      <c r="O13" s="723"/>
      <c r="P13" s="723"/>
      <c r="Q13" s="723"/>
      <c r="R13" s="723"/>
      <c r="S13" s="723"/>
      <c r="T13" s="723"/>
      <c r="U13" s="723"/>
      <c r="V13" s="723"/>
      <c r="W13" s="723"/>
      <c r="X13" s="723"/>
      <c r="Y13" s="723"/>
      <c r="Z13" s="723"/>
      <c r="AA13" s="723"/>
      <c r="AB13" s="723"/>
      <c r="AC13" s="723"/>
      <c r="AD13" s="723"/>
      <c r="AE13" s="723"/>
      <c r="AF13" s="723"/>
      <c r="AG13" s="723"/>
      <c r="AH13" s="723"/>
      <c r="AI13" s="723"/>
      <c r="AJ13" s="723"/>
      <c r="AK13" s="723"/>
      <c r="AL13" s="723"/>
      <c r="AM13" s="723"/>
      <c r="AN13" s="723"/>
      <c r="AO13" s="723"/>
      <c r="AP13" s="723"/>
      <c r="AQ13" s="723"/>
      <c r="AR13" s="723"/>
      <c r="AS13" s="723"/>
      <c r="AT13" s="723"/>
      <c r="AU13" s="723"/>
      <c r="AV13" s="723"/>
      <c r="AW13" s="723"/>
      <c r="AX13" s="723"/>
      <c r="AY13" s="723"/>
      <c r="AZ13" s="723"/>
      <c r="BA13" s="723"/>
      <c r="BB13" s="723"/>
      <c r="BC13" s="723"/>
      <c r="BD13" s="723"/>
      <c r="BE13" s="723"/>
      <c r="BF13" s="723"/>
      <c r="BG13" s="723"/>
      <c r="BH13" s="723"/>
      <c r="BI13" s="723"/>
      <c r="BJ13" s="723"/>
      <c r="BK13" s="723"/>
      <c r="BL13" s="723"/>
      <c r="BM13" s="723"/>
      <c r="BN13" s="723"/>
      <c r="BO13" s="723"/>
      <c r="BP13" s="723"/>
      <c r="BQ13" s="723"/>
      <c r="BR13" s="723"/>
      <c r="BS13" s="723"/>
      <c r="BT13" s="723"/>
      <c r="BU13" s="723"/>
      <c r="BV13" s="723"/>
      <c r="BW13" s="723"/>
      <c r="BX13" s="723"/>
      <c r="BY13" s="723"/>
      <c r="BZ13" s="723"/>
      <c r="CA13" s="723"/>
      <c r="CB13" s="723"/>
      <c r="CC13" s="723"/>
      <c r="CD13" s="723"/>
      <c r="CE13" s="723"/>
      <c r="CF13" s="723"/>
      <c r="CG13" s="723"/>
      <c r="CH13" s="723"/>
      <c r="CI13" s="723"/>
      <c r="CJ13" s="723"/>
      <c r="CK13" s="723"/>
      <c r="CL13" s="723"/>
      <c r="CM13" s="723"/>
      <c r="CN13" s="723"/>
      <c r="CO13" s="723"/>
      <c r="CP13" s="723"/>
      <c r="CQ13" s="723"/>
      <c r="CR13" s="723"/>
      <c r="CS13" s="723"/>
      <c r="CT13" s="723"/>
      <c r="CU13" s="723"/>
      <c r="CV13" s="723"/>
      <c r="CW13" s="723"/>
      <c r="CX13" s="381"/>
    </row>
    <row r="14" spans="1:105" s="389" customFormat="1" ht="18.75" customHeight="1">
      <c r="A14" s="383"/>
      <c r="B14" s="724" t="s">
        <v>267</v>
      </c>
      <c r="C14" s="724"/>
      <c r="D14" s="724"/>
      <c r="E14" s="724"/>
      <c r="F14" s="724"/>
      <c r="G14" s="724"/>
      <c r="H14" s="724"/>
      <c r="I14" s="724"/>
      <c r="J14" s="724"/>
      <c r="K14" s="724"/>
      <c r="L14" s="724"/>
      <c r="M14" s="724"/>
      <c r="N14" s="724"/>
      <c r="O14" s="724"/>
      <c r="P14" s="724"/>
      <c r="Q14" s="724"/>
      <c r="R14" s="724"/>
      <c r="S14" s="724"/>
      <c r="T14" s="724"/>
      <c r="U14" s="724"/>
      <c r="V14" s="724"/>
      <c r="W14" s="724"/>
      <c r="X14" s="724"/>
      <c r="Y14" s="724"/>
      <c r="Z14" s="724"/>
      <c r="AA14" s="724"/>
      <c r="AB14" s="724"/>
      <c r="AC14" s="724"/>
      <c r="AD14" s="724"/>
      <c r="AE14" s="724"/>
      <c r="AF14" s="724"/>
      <c r="AG14" s="724"/>
      <c r="AH14" s="724"/>
      <c r="AI14" s="724"/>
      <c r="AJ14" s="724"/>
      <c r="AK14" s="724"/>
      <c r="AL14" s="724"/>
      <c r="AM14" s="724"/>
      <c r="AN14" s="724"/>
      <c r="AO14" s="724"/>
      <c r="AP14" s="724"/>
      <c r="AQ14" s="724"/>
      <c r="AR14" s="724"/>
      <c r="AS14" s="724"/>
      <c r="AT14" s="724"/>
      <c r="AU14" s="724"/>
      <c r="AV14" s="724"/>
      <c r="AW14" s="724"/>
      <c r="AX14" s="724"/>
      <c r="AY14" s="724"/>
      <c r="AZ14" s="724"/>
      <c r="BA14" s="724"/>
      <c r="BB14" s="724"/>
      <c r="BC14" s="724"/>
      <c r="BD14" s="724"/>
      <c r="BE14" s="724"/>
      <c r="BF14" s="724"/>
      <c r="BG14" s="724"/>
      <c r="BH14" s="724"/>
      <c r="BI14" s="724"/>
      <c r="BJ14" s="724"/>
      <c r="BK14" s="724"/>
      <c r="BL14" s="724"/>
      <c r="BM14" s="724"/>
      <c r="BN14" s="724"/>
      <c r="BO14" s="724"/>
      <c r="BP14" s="724"/>
      <c r="BQ14" s="724"/>
      <c r="BR14" s="724"/>
      <c r="BS14" s="724"/>
      <c r="BT14" s="724"/>
      <c r="BU14" s="724"/>
      <c r="BV14" s="724"/>
      <c r="BW14" s="724"/>
      <c r="BX14" s="724"/>
      <c r="BY14" s="724"/>
      <c r="BZ14" s="724"/>
      <c r="CA14" s="724"/>
      <c r="CB14" s="724"/>
      <c r="CC14" s="724"/>
      <c r="CD14" s="724"/>
      <c r="CE14" s="724"/>
      <c r="CF14" s="724"/>
      <c r="CG14" s="724"/>
      <c r="CH14" s="724"/>
      <c r="CI14" s="724"/>
      <c r="CJ14" s="724"/>
      <c r="CK14" s="724"/>
      <c r="CL14" s="724"/>
      <c r="CM14" s="724"/>
      <c r="CN14" s="724"/>
      <c r="CO14" s="724"/>
      <c r="CP14" s="724"/>
      <c r="CQ14" s="724"/>
      <c r="CR14" s="724"/>
      <c r="CS14" s="724"/>
      <c r="CT14" s="724"/>
      <c r="CU14" s="724"/>
      <c r="CV14" s="724"/>
      <c r="CW14" s="724"/>
      <c r="CX14" s="381"/>
    </row>
    <row r="15" spans="1:105" s="392" customFormat="1" ht="18.75" customHeight="1">
      <c r="A15" s="383"/>
      <c r="B15" s="390"/>
      <c r="C15" s="390"/>
      <c r="D15" s="390"/>
      <c r="E15" s="390"/>
      <c r="F15" s="390"/>
      <c r="G15" s="390"/>
      <c r="H15" s="390"/>
      <c r="I15" s="390"/>
      <c r="J15" s="390"/>
      <c r="K15" s="391"/>
      <c r="L15" s="391"/>
      <c r="M15" s="391"/>
      <c r="N15" s="391"/>
      <c r="O15" s="391"/>
      <c r="P15" s="390"/>
      <c r="Q15" s="390"/>
      <c r="R15" s="390"/>
      <c r="S15" s="390"/>
      <c r="T15" s="390"/>
      <c r="U15" s="391"/>
      <c r="V15" s="390"/>
      <c r="W15" s="390"/>
      <c r="X15" s="390"/>
      <c r="Y15" s="390"/>
      <c r="Z15" s="390"/>
      <c r="AA15" s="390"/>
      <c r="AB15" s="390"/>
      <c r="AC15" s="390"/>
      <c r="AD15" s="390"/>
      <c r="AE15" s="390"/>
      <c r="AF15" s="390"/>
      <c r="AG15" s="390"/>
      <c r="AH15" s="390"/>
      <c r="AI15" s="390"/>
      <c r="AJ15" s="390"/>
      <c r="AK15" s="390"/>
      <c r="AL15" s="390"/>
      <c r="AM15" s="390"/>
      <c r="AN15" s="390" t="s">
        <v>268</v>
      </c>
      <c r="AO15" s="390"/>
      <c r="AP15" s="390"/>
      <c r="AQ15" s="390"/>
      <c r="AR15" s="390"/>
      <c r="AS15" s="725">
        <v>46082</v>
      </c>
      <c r="AT15" s="725"/>
      <c r="AU15" s="725"/>
      <c r="AV15" s="725"/>
      <c r="AW15" s="725"/>
      <c r="AX15" s="725"/>
      <c r="AY15" s="725"/>
      <c r="AZ15" s="725"/>
      <c r="BA15" s="725"/>
      <c r="BB15" s="725"/>
      <c r="BC15" s="725"/>
      <c r="BD15" s="725"/>
      <c r="BE15" s="725"/>
      <c r="BF15" s="725"/>
      <c r="BG15" s="725"/>
      <c r="BH15" s="725"/>
      <c r="BI15" s="725"/>
      <c r="BJ15" s="390"/>
      <c r="BK15" s="390"/>
      <c r="BL15" s="390"/>
      <c r="BM15" s="390"/>
      <c r="BN15" s="390"/>
      <c r="BO15" s="390"/>
      <c r="BP15" s="390"/>
      <c r="BQ15" s="390"/>
      <c r="BR15" s="390"/>
      <c r="BS15" s="390"/>
      <c r="BT15" s="390"/>
      <c r="BU15" s="390"/>
      <c r="BV15" s="390"/>
      <c r="BW15" s="390"/>
      <c r="BX15" s="390"/>
      <c r="BY15" s="390"/>
      <c r="BZ15" s="390"/>
      <c r="CA15" s="390"/>
      <c r="CB15" s="390"/>
      <c r="CC15" s="390"/>
      <c r="CD15" s="390"/>
      <c r="CE15" s="390"/>
      <c r="CF15" s="390"/>
      <c r="CG15" s="390"/>
      <c r="CH15" s="390"/>
      <c r="CI15" s="390"/>
      <c r="CJ15" s="390"/>
      <c r="CK15" s="390"/>
      <c r="CL15" s="390"/>
      <c r="CM15" s="390"/>
      <c r="CN15" s="390"/>
      <c r="CO15" s="390"/>
      <c r="CP15" s="390"/>
      <c r="CQ15" s="390"/>
      <c r="CR15" s="390"/>
      <c r="CS15" s="390"/>
      <c r="CT15" s="390"/>
      <c r="CU15" s="390"/>
      <c r="CV15" s="390"/>
      <c r="CW15" s="390"/>
      <c r="CX15" s="381"/>
    </row>
    <row r="16" spans="1:105" s="362" customFormat="1" ht="5.25" customHeight="1">
      <c r="A16" s="383"/>
      <c r="B16" s="393"/>
      <c r="C16" s="393"/>
      <c r="D16" s="393"/>
      <c r="E16" s="393"/>
      <c r="F16" s="393"/>
      <c r="G16" s="393"/>
      <c r="H16" s="393"/>
      <c r="I16" s="393"/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  <c r="AA16" s="393"/>
      <c r="AB16" s="393"/>
      <c r="AC16" s="393"/>
      <c r="AD16" s="393"/>
      <c r="AE16" s="393"/>
      <c r="AF16" s="393"/>
      <c r="AG16" s="393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  <c r="AZ16" s="393"/>
      <c r="BA16" s="393"/>
      <c r="BB16" s="393"/>
      <c r="BC16" s="393"/>
      <c r="BD16" s="393"/>
      <c r="BE16" s="393"/>
      <c r="BF16" s="393"/>
      <c r="BG16" s="393"/>
      <c r="BH16" s="393"/>
      <c r="BI16" s="393"/>
      <c r="BJ16" s="393"/>
      <c r="BK16" s="393"/>
      <c r="BL16" s="393"/>
      <c r="BM16" s="393"/>
      <c r="BN16" s="393"/>
      <c r="BO16" s="393"/>
      <c r="BP16" s="393"/>
      <c r="BQ16" s="393"/>
      <c r="BR16" s="393"/>
      <c r="BS16" s="393"/>
      <c r="BT16" s="393"/>
      <c r="BU16" s="393"/>
      <c r="BV16" s="393"/>
      <c r="BW16" s="393"/>
      <c r="BX16" s="393"/>
      <c r="BY16" s="393"/>
      <c r="BZ16" s="393"/>
      <c r="CA16" s="393"/>
      <c r="CB16" s="393"/>
      <c r="CC16" s="393"/>
      <c r="CD16" s="393"/>
      <c r="CE16" s="393"/>
      <c r="CF16" s="393"/>
      <c r="CG16" s="393"/>
      <c r="CH16" s="393"/>
      <c r="CI16" s="393"/>
      <c r="CJ16" s="393"/>
      <c r="CK16" s="393"/>
      <c r="CL16" s="393"/>
      <c r="CM16" s="393"/>
      <c r="CN16" s="393"/>
      <c r="CO16" s="394"/>
      <c r="CP16" s="395"/>
      <c r="CQ16" s="395"/>
      <c r="CR16" s="395"/>
      <c r="CS16" s="395"/>
      <c r="CT16" s="395"/>
      <c r="CU16" s="393"/>
      <c r="CV16" s="393"/>
      <c r="CW16" s="393"/>
      <c r="CX16" s="381"/>
    </row>
    <row r="17" spans="1:110" s="367" customFormat="1" ht="6" customHeight="1">
      <c r="A17" s="383"/>
      <c r="B17" s="362"/>
      <c r="CX17" s="381"/>
    </row>
    <row r="18" spans="1:110" s="367" customFormat="1" ht="18.75" customHeight="1">
      <c r="A18" s="383"/>
      <c r="B18" s="726" t="s">
        <v>269</v>
      </c>
      <c r="C18" s="726"/>
      <c r="D18" s="726"/>
      <c r="E18" s="726"/>
      <c r="F18" s="726"/>
      <c r="G18" s="726"/>
      <c r="H18" s="726"/>
      <c r="I18" s="726"/>
      <c r="J18" s="726"/>
      <c r="K18" s="726"/>
      <c r="L18" s="726"/>
      <c r="M18" s="726"/>
      <c r="N18" s="726"/>
      <c r="O18" s="726"/>
      <c r="P18" s="726"/>
      <c r="Q18" s="726"/>
      <c r="R18" s="726"/>
      <c r="S18" s="726"/>
      <c r="T18" s="726"/>
      <c r="U18" s="726"/>
      <c r="V18" s="726"/>
      <c r="W18" s="726"/>
      <c r="X18" s="726"/>
      <c r="Y18" s="726"/>
      <c r="Z18" s="726"/>
      <c r="AA18" s="726"/>
      <c r="AB18" s="726"/>
      <c r="AC18" s="726"/>
      <c r="AD18" s="726"/>
      <c r="AE18" s="726"/>
      <c r="AF18" s="726"/>
      <c r="AG18" s="726"/>
      <c r="AH18" s="726"/>
      <c r="AI18" s="726"/>
      <c r="AJ18" s="726"/>
      <c r="AK18" s="726"/>
      <c r="AL18" s="726"/>
      <c r="AM18" s="726"/>
      <c r="AN18" s="726"/>
      <c r="AO18" s="726"/>
      <c r="AP18" s="726"/>
      <c r="AQ18" s="726"/>
      <c r="AR18" s="726"/>
      <c r="AS18" s="726"/>
      <c r="AT18" s="726"/>
      <c r="AU18" s="726"/>
      <c r="AV18" s="726"/>
      <c r="AW18" s="726"/>
      <c r="AX18" s="726"/>
      <c r="AY18" s="726"/>
      <c r="AZ18" s="726"/>
      <c r="BA18" s="726"/>
      <c r="BB18" s="726"/>
      <c r="BC18" s="726"/>
      <c r="BD18" s="726"/>
      <c r="BE18" s="726"/>
      <c r="BF18" s="726"/>
      <c r="BG18" s="726"/>
      <c r="BH18" s="726"/>
      <c r="BI18" s="726"/>
      <c r="BJ18" s="726"/>
      <c r="BK18" s="726"/>
      <c r="BL18" s="726"/>
      <c r="BM18" s="726"/>
      <c r="BN18" s="726"/>
      <c r="BO18" s="726"/>
      <c r="BP18" s="726"/>
      <c r="BQ18" s="726"/>
      <c r="BR18" s="726"/>
      <c r="BS18" s="726"/>
      <c r="BT18" s="726"/>
      <c r="BU18" s="726"/>
      <c r="BV18" s="726"/>
      <c r="BW18" s="726"/>
      <c r="BX18" s="726"/>
      <c r="BY18" s="726"/>
      <c r="BZ18" s="726"/>
      <c r="CA18" s="726"/>
      <c r="CB18" s="726"/>
      <c r="CC18" s="726"/>
      <c r="CD18" s="726"/>
      <c r="CE18" s="726"/>
      <c r="CF18" s="726"/>
      <c r="CG18" s="726"/>
      <c r="CH18" s="726"/>
      <c r="CI18" s="726"/>
      <c r="CJ18" s="726"/>
      <c r="CK18" s="726"/>
      <c r="CL18" s="726"/>
      <c r="CM18" s="726"/>
      <c r="CN18" s="726"/>
      <c r="CO18" s="726"/>
      <c r="CP18" s="726"/>
      <c r="CQ18" s="726"/>
      <c r="CR18" s="726"/>
      <c r="CS18" s="726"/>
      <c r="CT18" s="726"/>
      <c r="CU18" s="726"/>
      <c r="CV18" s="726"/>
      <c r="CW18" s="726"/>
      <c r="CX18" s="381"/>
    </row>
    <row r="19" spans="1:110" s="367" customFormat="1" ht="18.75" customHeight="1">
      <c r="A19" s="383"/>
      <c r="B19" s="727" t="s">
        <v>270</v>
      </c>
      <c r="C19" s="727"/>
      <c r="D19" s="727"/>
      <c r="E19" s="727"/>
      <c r="F19" s="727"/>
      <c r="G19" s="727"/>
      <c r="H19" s="727"/>
      <c r="I19" s="727"/>
      <c r="J19" s="727"/>
      <c r="K19" s="727"/>
      <c r="L19" s="727"/>
      <c r="M19" s="727"/>
      <c r="N19" s="727"/>
      <c r="O19" s="727"/>
      <c r="P19" s="727"/>
      <c r="Q19" s="727"/>
      <c r="R19" s="727"/>
      <c r="S19" s="727"/>
      <c r="T19" s="727"/>
      <c r="U19" s="727"/>
      <c r="V19" s="727"/>
      <c r="W19" s="727"/>
      <c r="X19" s="727"/>
      <c r="Y19" s="727"/>
      <c r="Z19" s="727"/>
      <c r="AA19" s="727"/>
      <c r="AB19" s="727"/>
      <c r="AC19" s="727"/>
      <c r="AD19" s="727"/>
      <c r="AE19" s="727"/>
      <c r="AF19" s="727"/>
      <c r="AG19" s="727"/>
      <c r="AH19" s="727"/>
      <c r="AI19" s="727"/>
      <c r="AJ19" s="727"/>
      <c r="AK19" s="727"/>
      <c r="AL19" s="727"/>
      <c r="AM19" s="727"/>
      <c r="AN19" s="727"/>
      <c r="AO19" s="727"/>
      <c r="AP19" s="727"/>
      <c r="AQ19" s="727"/>
      <c r="AR19" s="727"/>
      <c r="AS19" s="727"/>
      <c r="AT19" s="727"/>
      <c r="AU19" s="727"/>
      <c r="AV19" s="727"/>
      <c r="AW19" s="727"/>
      <c r="AX19" s="727"/>
      <c r="AY19" s="727"/>
      <c r="AZ19" s="727"/>
      <c r="BA19" s="727"/>
      <c r="BB19" s="727"/>
      <c r="BC19" s="727"/>
      <c r="BD19" s="727"/>
      <c r="BE19" s="727"/>
      <c r="BF19" s="727"/>
      <c r="BG19" s="727"/>
      <c r="BH19" s="727"/>
      <c r="BI19" s="727"/>
      <c r="BJ19" s="727"/>
      <c r="BK19" s="727"/>
      <c r="BL19" s="727"/>
      <c r="BM19" s="727"/>
      <c r="BN19" s="727"/>
      <c r="BO19" s="727"/>
      <c r="BP19" s="727"/>
      <c r="BQ19" s="727"/>
      <c r="BR19" s="727"/>
      <c r="BS19" s="727"/>
      <c r="BT19" s="727"/>
      <c r="BU19" s="727"/>
      <c r="BV19" s="727"/>
      <c r="BW19" s="727"/>
      <c r="BX19" s="727"/>
      <c r="BY19" s="727"/>
      <c r="BZ19" s="727"/>
      <c r="CA19" s="727"/>
      <c r="CB19" s="727"/>
      <c r="CC19" s="727"/>
      <c r="CD19" s="727"/>
      <c r="CE19" s="727"/>
      <c r="CF19" s="727"/>
      <c r="CG19" s="727"/>
      <c r="CH19" s="727"/>
      <c r="CI19" s="727"/>
      <c r="CJ19" s="727"/>
      <c r="CK19" s="727"/>
      <c r="CL19" s="727"/>
      <c r="CM19" s="727"/>
      <c r="CN19" s="727"/>
      <c r="CO19" s="727"/>
      <c r="CP19" s="727"/>
      <c r="CQ19" s="727"/>
      <c r="CR19" s="727"/>
      <c r="CS19" s="727"/>
      <c r="CT19" s="727"/>
      <c r="CU19" s="727"/>
      <c r="CV19" s="727"/>
      <c r="CW19" s="727"/>
      <c r="CX19" s="381"/>
    </row>
    <row r="20" spans="1:110" s="367" customFormat="1" ht="6" customHeight="1">
      <c r="A20" s="383"/>
      <c r="B20" s="362"/>
      <c r="CX20" s="381"/>
    </row>
    <row r="21" spans="1:110" s="367" customFormat="1" ht="6" customHeight="1">
      <c r="A21" s="383"/>
      <c r="B21" s="362"/>
      <c r="CX21" s="381"/>
    </row>
    <row r="22" spans="1:110" s="367" customFormat="1" ht="6" customHeight="1">
      <c r="A22" s="383"/>
      <c r="B22" s="362"/>
      <c r="CX22" s="381"/>
    </row>
    <row r="23" spans="1:110" s="367" customFormat="1" ht="26.25" customHeight="1">
      <c r="A23" s="383"/>
      <c r="B23" s="396" t="s">
        <v>271</v>
      </c>
      <c r="C23" s="397"/>
      <c r="D23" s="397"/>
      <c r="E23" s="397"/>
      <c r="F23" s="397"/>
      <c r="G23" s="397"/>
      <c r="H23" s="397"/>
      <c r="I23" s="397"/>
      <c r="J23" s="397"/>
      <c r="K23" s="397"/>
      <c r="L23" s="397"/>
      <c r="M23" s="397"/>
      <c r="N23" s="397"/>
      <c r="O23" s="397"/>
      <c r="P23" s="397"/>
      <c r="Q23" s="397"/>
      <c r="R23" s="397"/>
      <c r="S23" s="397"/>
      <c r="T23" s="397"/>
      <c r="U23" s="397"/>
      <c r="V23" s="397"/>
      <c r="W23" s="397"/>
      <c r="X23" s="397"/>
      <c r="Y23" s="397"/>
      <c r="Z23" s="397"/>
      <c r="AA23" s="397"/>
      <c r="AB23" s="397"/>
      <c r="AC23" s="397"/>
      <c r="AD23" s="397"/>
      <c r="AE23" s="397"/>
      <c r="AF23" s="397"/>
      <c r="AG23" s="397"/>
      <c r="AH23" s="397"/>
      <c r="AI23" s="397"/>
      <c r="AJ23" s="397"/>
      <c r="AK23" s="397"/>
      <c r="AL23" s="397"/>
      <c r="AM23" s="397"/>
      <c r="AN23" s="397"/>
      <c r="AO23" s="397"/>
      <c r="AP23" s="397"/>
      <c r="AQ23" s="397"/>
      <c r="AR23" s="397"/>
      <c r="AS23" s="397"/>
      <c r="AT23" s="397"/>
      <c r="AU23" s="397"/>
      <c r="AV23" s="397"/>
      <c r="AW23" s="397"/>
      <c r="AX23" s="397"/>
      <c r="AY23" s="397"/>
      <c r="AZ23" s="397"/>
      <c r="BA23" s="397"/>
      <c r="BB23" s="397"/>
      <c r="BC23" s="397"/>
      <c r="BD23" s="397"/>
      <c r="BE23" s="397"/>
      <c r="BF23" s="397"/>
      <c r="BG23" s="397"/>
      <c r="BH23" s="397"/>
      <c r="BI23" s="397"/>
      <c r="BJ23" s="397"/>
      <c r="BK23" s="397"/>
      <c r="BL23" s="397"/>
      <c r="BM23" s="397"/>
      <c r="BN23" s="397"/>
      <c r="BO23" s="397"/>
      <c r="BP23" s="397"/>
      <c r="BQ23" s="397"/>
      <c r="BR23" s="397"/>
      <c r="BS23" s="397"/>
      <c r="BT23" s="397"/>
      <c r="BU23" s="397"/>
      <c r="BV23" s="397"/>
      <c r="BW23" s="397"/>
      <c r="BX23" s="397"/>
      <c r="BY23" s="397"/>
      <c r="BZ23" s="397"/>
      <c r="CA23" s="397"/>
      <c r="CB23" s="397"/>
      <c r="CC23" s="397"/>
      <c r="CD23" s="397"/>
      <c r="CE23" s="397"/>
      <c r="CF23" s="397"/>
      <c r="CG23" s="397"/>
      <c r="CH23" s="397"/>
      <c r="CI23" s="397"/>
      <c r="CJ23" s="397"/>
      <c r="CK23" s="397"/>
      <c r="CL23" s="397"/>
      <c r="CM23" s="397"/>
      <c r="CN23" s="397"/>
      <c r="CO23" s="397"/>
      <c r="CP23" s="397"/>
      <c r="CQ23" s="397"/>
      <c r="CR23" s="397"/>
      <c r="CS23" s="397"/>
      <c r="CT23" s="397"/>
      <c r="CU23" s="397"/>
      <c r="CV23" s="398" t="s">
        <v>272</v>
      </c>
      <c r="CW23" s="399" t="s">
        <v>273</v>
      </c>
      <c r="CX23" s="400"/>
    </row>
    <row r="24" spans="1:110" s="367" customFormat="1" ht="26.25" customHeight="1">
      <c r="A24" s="401"/>
      <c r="B24" s="402" t="s">
        <v>274</v>
      </c>
      <c r="C24" s="402"/>
      <c r="D24" s="403"/>
      <c r="E24" s="403"/>
      <c r="F24" s="403"/>
      <c r="G24" s="403"/>
      <c r="H24" s="403"/>
      <c r="I24" s="403"/>
      <c r="J24" s="403"/>
      <c r="K24" s="404"/>
      <c r="L24" s="404"/>
      <c r="M24" s="404"/>
      <c r="N24" s="404"/>
      <c r="O24" s="404"/>
      <c r="P24" s="404"/>
      <c r="Q24" s="404"/>
      <c r="R24" s="404"/>
      <c r="S24" s="404"/>
      <c r="T24" s="405"/>
      <c r="U24" s="405"/>
      <c r="V24" s="405"/>
      <c r="W24" s="405"/>
      <c r="X24" s="728" t="s">
        <v>327</v>
      </c>
      <c r="Y24" s="728"/>
      <c r="Z24" s="728"/>
      <c r="AA24" s="728"/>
      <c r="AB24" s="728"/>
      <c r="AC24" s="728"/>
      <c r="AD24" s="728"/>
      <c r="AE24" s="728"/>
      <c r="AF24" s="728"/>
      <c r="AG24" s="728"/>
      <c r="AH24" s="728"/>
      <c r="AI24" s="728"/>
      <c r="AJ24" s="728"/>
      <c r="AK24" s="728"/>
      <c r="AL24" s="728"/>
      <c r="AM24" s="728"/>
      <c r="AN24" s="728"/>
      <c r="AO24" s="728"/>
      <c r="AP24" s="728"/>
      <c r="AQ24" s="728"/>
      <c r="AR24" s="728"/>
      <c r="AS24" s="728"/>
      <c r="AT24" s="728"/>
      <c r="AU24" s="728"/>
      <c r="AV24" s="728"/>
      <c r="AW24" s="728"/>
      <c r="AX24" s="728"/>
      <c r="AY24" s="728"/>
      <c r="AZ24" s="728"/>
      <c r="BA24" s="728"/>
      <c r="BB24" s="728"/>
      <c r="BC24" s="728"/>
      <c r="BD24" s="728"/>
      <c r="BE24" s="728"/>
      <c r="BF24" s="728"/>
      <c r="BG24" s="728"/>
      <c r="BH24" s="728"/>
      <c r="BI24" s="728"/>
      <c r="BJ24" s="728"/>
      <c r="BK24" s="728"/>
      <c r="BL24" s="728"/>
      <c r="BM24" s="728"/>
      <c r="BN24" s="728"/>
      <c r="BO24" s="728"/>
      <c r="BP24" s="728"/>
      <c r="BQ24" s="728"/>
      <c r="BR24" s="728"/>
      <c r="BS24" s="728"/>
      <c r="BT24" s="728"/>
      <c r="BU24" s="728"/>
      <c r="BV24" s="728"/>
      <c r="BW24" s="728"/>
      <c r="BX24" s="728"/>
      <c r="BY24" s="728"/>
      <c r="BZ24" s="728"/>
      <c r="CA24" s="728"/>
      <c r="CB24" s="728"/>
      <c r="CC24" s="728"/>
      <c r="CD24" s="728"/>
      <c r="CE24" s="728"/>
      <c r="CF24" s="728"/>
      <c r="CG24" s="728"/>
      <c r="CH24" s="406"/>
      <c r="CI24" s="406"/>
      <c r="CJ24" s="406"/>
      <c r="CK24" s="406"/>
      <c r="CL24" s="406"/>
      <c r="CM24" s="407"/>
      <c r="CN24" s="407"/>
      <c r="CO24" s="407"/>
      <c r="CP24" s="407"/>
      <c r="CQ24" s="408"/>
      <c r="CR24" s="408"/>
      <c r="CS24" s="408"/>
      <c r="CT24" s="408"/>
      <c r="CU24" s="408"/>
      <c r="CV24" s="408" t="s">
        <v>275</v>
      </c>
      <c r="CW24" s="409" t="s">
        <v>276</v>
      </c>
      <c r="CX24" s="400"/>
    </row>
    <row r="25" spans="1:110" s="367" customFormat="1" ht="26.25" customHeight="1">
      <c r="A25" s="401"/>
      <c r="B25" s="410" t="s">
        <v>277</v>
      </c>
      <c r="C25" s="402"/>
      <c r="D25" s="403"/>
      <c r="E25" s="403"/>
      <c r="F25" s="403"/>
      <c r="G25" s="403"/>
      <c r="H25" s="403"/>
      <c r="I25" s="729" t="s">
        <v>328</v>
      </c>
      <c r="J25" s="729"/>
      <c r="K25" s="729"/>
      <c r="L25" s="729"/>
      <c r="M25" s="729"/>
      <c r="N25" s="729"/>
      <c r="O25" s="729"/>
      <c r="P25" s="729"/>
      <c r="Q25" s="729"/>
      <c r="R25" s="729"/>
      <c r="S25" s="729"/>
      <c r="T25" s="729"/>
      <c r="U25" s="729"/>
      <c r="V25" s="729"/>
      <c r="W25" s="729"/>
      <c r="X25" s="729"/>
      <c r="Y25" s="729"/>
      <c r="Z25" s="729"/>
      <c r="AA25" s="729"/>
      <c r="AB25" s="729"/>
      <c r="AC25" s="729"/>
      <c r="AD25" s="729"/>
      <c r="AE25" s="729"/>
      <c r="AF25" s="729"/>
      <c r="AG25" s="729"/>
      <c r="AH25" s="729"/>
      <c r="AI25" s="729"/>
      <c r="AJ25" s="729"/>
      <c r="AK25" s="729"/>
      <c r="AL25" s="729"/>
      <c r="AM25" s="729"/>
      <c r="AN25" s="729"/>
      <c r="AO25" s="729"/>
      <c r="AP25" s="729"/>
      <c r="AQ25" s="729"/>
      <c r="AR25" s="729"/>
      <c r="AS25" s="729"/>
      <c r="AT25" s="729"/>
      <c r="AU25" s="729"/>
      <c r="AV25" s="729"/>
      <c r="AW25" s="729"/>
      <c r="AX25" s="729"/>
      <c r="AY25" s="729"/>
      <c r="AZ25" s="729"/>
      <c r="BA25" s="729"/>
      <c r="BB25" s="729"/>
      <c r="BC25" s="729"/>
      <c r="BD25" s="729"/>
      <c r="BE25" s="729"/>
      <c r="BF25" s="729"/>
      <c r="BG25" s="729"/>
      <c r="BH25" s="729"/>
      <c r="BI25" s="729"/>
      <c r="BJ25" s="729"/>
      <c r="BK25" s="729"/>
      <c r="BL25" s="729"/>
      <c r="BM25" s="729"/>
      <c r="BN25" s="729"/>
      <c r="BO25" s="729"/>
      <c r="BP25" s="729"/>
      <c r="BQ25" s="729"/>
      <c r="BR25" s="729"/>
      <c r="BS25" s="729"/>
      <c r="BT25" s="729"/>
      <c r="BU25" s="729"/>
      <c r="BV25" s="729"/>
      <c r="BW25" s="729"/>
      <c r="BX25" s="729"/>
      <c r="BY25" s="729"/>
      <c r="BZ25" s="729"/>
      <c r="CA25" s="729"/>
      <c r="CB25" s="729"/>
      <c r="CC25" s="729"/>
      <c r="CD25" s="729"/>
      <c r="CE25" s="729"/>
      <c r="CF25" s="729"/>
      <c r="CG25" s="729"/>
      <c r="CH25" s="729"/>
      <c r="CI25" s="729"/>
      <c r="CJ25" s="729"/>
      <c r="CK25" s="729"/>
      <c r="CL25" s="729"/>
      <c r="CM25" s="729"/>
      <c r="CN25" s="729"/>
      <c r="CO25" s="729"/>
      <c r="CP25" s="729"/>
      <c r="CQ25" s="408"/>
      <c r="CR25" s="408"/>
      <c r="CS25" s="408"/>
      <c r="CT25" s="408"/>
      <c r="CU25" s="408"/>
      <c r="CV25" s="408" t="s">
        <v>278</v>
      </c>
      <c r="CW25" s="411" t="s">
        <v>276</v>
      </c>
      <c r="CX25" s="370"/>
    </row>
    <row r="26" spans="1:110" s="367" customFormat="1" ht="26.25" customHeight="1">
      <c r="A26" s="401"/>
      <c r="B26" s="402" t="s">
        <v>279</v>
      </c>
      <c r="C26" s="402"/>
      <c r="D26" s="403"/>
      <c r="E26" s="403"/>
      <c r="F26" s="403"/>
      <c r="G26" s="403"/>
      <c r="H26" s="403"/>
      <c r="I26" s="403"/>
      <c r="J26" s="412"/>
      <c r="K26" s="404"/>
      <c r="L26" s="404"/>
      <c r="M26" s="404"/>
      <c r="N26" s="404"/>
      <c r="O26" s="404"/>
      <c r="P26" s="404"/>
      <c r="Q26" s="404"/>
      <c r="R26" s="404"/>
      <c r="S26" s="404"/>
      <c r="T26" s="405"/>
      <c r="U26" s="405"/>
      <c r="V26" s="405"/>
      <c r="W26" s="405"/>
      <c r="X26" s="405"/>
      <c r="Y26" s="405"/>
      <c r="Z26" s="730">
        <v>1976310200025830</v>
      </c>
      <c r="AA26" s="730"/>
      <c r="AB26" s="730"/>
      <c r="AC26" s="730"/>
      <c r="AD26" s="730"/>
      <c r="AE26" s="730"/>
      <c r="AF26" s="730"/>
      <c r="AG26" s="730"/>
      <c r="AH26" s="730"/>
      <c r="AI26" s="730"/>
      <c r="AJ26" s="730"/>
      <c r="AK26" s="730"/>
      <c r="AL26" s="730"/>
      <c r="AM26" s="730"/>
      <c r="AN26" s="730"/>
      <c r="AO26" s="730"/>
      <c r="AP26" s="730"/>
      <c r="AQ26" s="730"/>
      <c r="AR26" s="730"/>
      <c r="AS26" s="730"/>
      <c r="AT26" s="730"/>
      <c r="AU26" s="730"/>
      <c r="AV26" s="730"/>
      <c r="AW26" s="730"/>
      <c r="AX26" s="730"/>
      <c r="AY26" s="730"/>
      <c r="AZ26" s="730"/>
      <c r="BA26" s="730"/>
      <c r="BB26" s="730"/>
      <c r="BC26" s="730"/>
      <c r="BD26" s="730"/>
      <c r="BE26" s="730"/>
      <c r="BF26" s="730"/>
      <c r="BG26" s="730"/>
      <c r="BH26" s="730"/>
      <c r="BI26" s="730"/>
      <c r="BJ26" s="730"/>
      <c r="BK26" s="730"/>
      <c r="BL26" s="730"/>
      <c r="BM26" s="730"/>
      <c r="BN26" s="730"/>
      <c r="BO26" s="730"/>
      <c r="BP26" s="730"/>
      <c r="BQ26" s="730"/>
      <c r="BR26" s="730"/>
      <c r="BS26" s="730"/>
      <c r="BT26" s="730"/>
      <c r="BU26" s="730"/>
      <c r="BV26" s="730"/>
      <c r="BW26" s="730"/>
      <c r="BX26" s="730"/>
      <c r="BY26" s="730"/>
      <c r="BZ26" s="730"/>
      <c r="CA26" s="730"/>
      <c r="CB26" s="730"/>
      <c r="CC26" s="730"/>
      <c r="CD26" s="730"/>
      <c r="CE26" s="730"/>
      <c r="CF26" s="730"/>
      <c r="CG26" s="730"/>
      <c r="CH26" s="730"/>
      <c r="CI26" s="730"/>
      <c r="CJ26" s="730"/>
      <c r="CK26" s="730"/>
      <c r="CL26" s="405"/>
      <c r="CM26" s="405"/>
      <c r="CN26" s="405"/>
      <c r="CO26" s="405"/>
      <c r="CP26" s="407"/>
      <c r="CQ26" s="408"/>
      <c r="CR26" s="408"/>
      <c r="CS26" s="408"/>
      <c r="CT26" s="408"/>
      <c r="CU26" s="408"/>
      <c r="CV26" s="408" t="s">
        <v>280</v>
      </c>
      <c r="CW26" s="411" t="s">
        <v>276</v>
      </c>
      <c r="CX26" s="370"/>
    </row>
    <row r="27" spans="1:110" s="367" customFormat="1" ht="26.25" customHeight="1">
      <c r="A27" s="401"/>
      <c r="B27" s="402" t="s">
        <v>281</v>
      </c>
      <c r="C27" s="402"/>
      <c r="D27" s="403"/>
      <c r="E27" s="403"/>
      <c r="F27" s="403"/>
      <c r="G27" s="403"/>
      <c r="H27" s="403"/>
      <c r="I27" s="403"/>
      <c r="J27" s="412"/>
      <c r="K27" s="404"/>
      <c r="L27" s="404"/>
      <c r="M27" s="404"/>
      <c r="N27" s="404"/>
      <c r="O27" s="404"/>
      <c r="P27" s="404"/>
      <c r="Q27" s="404"/>
      <c r="R27" s="404"/>
      <c r="S27" s="404"/>
      <c r="T27" s="405"/>
      <c r="U27" s="405"/>
      <c r="V27" s="405"/>
      <c r="W27" s="405"/>
      <c r="X27" s="405"/>
      <c r="Y27" s="405"/>
      <c r="Z27" s="405"/>
      <c r="AA27" s="731"/>
      <c r="AB27" s="731"/>
      <c r="AC27" s="731"/>
      <c r="AD27" s="731"/>
      <c r="AE27" s="731"/>
      <c r="AF27" s="731"/>
      <c r="AG27" s="731"/>
      <c r="AH27" s="731"/>
      <c r="AI27" s="731"/>
      <c r="AJ27" s="731"/>
      <c r="AK27" s="731"/>
      <c r="AL27" s="731"/>
      <c r="AM27" s="731"/>
      <c r="AN27" s="731"/>
      <c r="AO27" s="731"/>
      <c r="AP27" s="731"/>
      <c r="AQ27" s="731"/>
      <c r="AR27" s="731"/>
      <c r="AS27" s="731"/>
      <c r="AT27" s="731"/>
      <c r="AU27" s="731"/>
      <c r="AV27" s="731"/>
      <c r="AW27" s="731"/>
      <c r="AX27" s="731"/>
      <c r="AY27" s="731"/>
      <c r="AZ27" s="731"/>
      <c r="BA27" s="731"/>
      <c r="BB27" s="731"/>
      <c r="BC27" s="731"/>
      <c r="BD27" s="731"/>
      <c r="BE27" s="731"/>
      <c r="BF27" s="731"/>
      <c r="BG27" s="731"/>
      <c r="BH27" s="731"/>
      <c r="BI27" s="731"/>
      <c r="BJ27" s="731"/>
      <c r="BK27" s="731"/>
      <c r="BL27" s="731"/>
      <c r="BM27" s="731"/>
      <c r="BN27" s="731"/>
      <c r="BO27" s="731"/>
      <c r="BP27" s="731"/>
      <c r="BQ27" s="731"/>
      <c r="BR27" s="731"/>
      <c r="BS27" s="731"/>
      <c r="BT27" s="731"/>
      <c r="BU27" s="731"/>
      <c r="BV27" s="731"/>
      <c r="BW27" s="731"/>
      <c r="BX27" s="731"/>
      <c r="BY27" s="731"/>
      <c r="BZ27" s="731"/>
      <c r="CA27" s="731"/>
      <c r="CB27" s="731"/>
      <c r="CC27" s="731"/>
      <c r="CD27" s="731"/>
      <c r="CE27" s="731"/>
      <c r="CF27" s="731"/>
      <c r="CG27" s="731"/>
      <c r="CH27" s="731"/>
      <c r="CI27" s="405"/>
      <c r="CJ27" s="405"/>
      <c r="CK27" s="405"/>
      <c r="CL27" s="405"/>
      <c r="CM27" s="405"/>
      <c r="CN27" s="405"/>
      <c r="CO27" s="405"/>
      <c r="CP27" s="407"/>
      <c r="CQ27" s="408"/>
      <c r="CR27" s="408"/>
      <c r="CS27" s="408"/>
      <c r="CT27" s="408"/>
      <c r="CU27" s="408"/>
      <c r="CV27" s="408" t="s">
        <v>282</v>
      </c>
      <c r="CW27" s="411" t="s">
        <v>276</v>
      </c>
      <c r="CX27" s="370"/>
    </row>
    <row r="28" spans="1:110" s="367" customFormat="1" ht="26.25" customHeight="1">
      <c r="A28" s="401"/>
      <c r="B28" s="402" t="s">
        <v>283</v>
      </c>
      <c r="C28" s="402"/>
      <c r="D28" s="403"/>
      <c r="E28" s="403"/>
      <c r="F28" s="403"/>
      <c r="G28" s="403"/>
      <c r="H28" s="403"/>
      <c r="I28" s="403"/>
      <c r="J28" s="403"/>
      <c r="K28" s="413"/>
      <c r="L28" s="403"/>
      <c r="M28" s="403"/>
      <c r="N28" s="403"/>
      <c r="O28" s="403"/>
      <c r="P28" s="403"/>
      <c r="Q28" s="403"/>
      <c r="R28" s="403"/>
      <c r="S28" s="407"/>
      <c r="T28" s="407"/>
      <c r="U28" s="407"/>
      <c r="V28" s="407"/>
      <c r="W28" s="407"/>
      <c r="X28" s="732">
        <v>2245000012</v>
      </c>
      <c r="Y28" s="732"/>
      <c r="Z28" s="732"/>
      <c r="AA28" s="732"/>
      <c r="AB28" s="732"/>
      <c r="AC28" s="732"/>
      <c r="AD28" s="732"/>
      <c r="AE28" s="732"/>
      <c r="AF28" s="732"/>
      <c r="AG28" s="732"/>
      <c r="AH28" s="732"/>
      <c r="AI28" s="732"/>
      <c r="AJ28" s="732"/>
      <c r="AK28" s="732"/>
      <c r="AL28" s="732"/>
      <c r="AM28" s="732"/>
      <c r="AN28" s="732"/>
      <c r="AO28" s="732"/>
      <c r="AP28" s="732"/>
      <c r="AQ28" s="732"/>
      <c r="AR28" s="732"/>
      <c r="AS28" s="732"/>
      <c r="AT28" s="732"/>
      <c r="AU28" s="732"/>
      <c r="AV28" s="732"/>
      <c r="AW28" s="732"/>
      <c r="AX28" s="732"/>
      <c r="AY28" s="732"/>
      <c r="AZ28" s="732"/>
      <c r="BA28" s="732"/>
      <c r="BB28" s="732"/>
      <c r="BC28" s="732"/>
      <c r="BD28" s="732"/>
      <c r="BE28" s="732"/>
      <c r="BF28" s="732"/>
      <c r="BG28" s="732"/>
      <c r="BH28" s="732"/>
      <c r="BI28" s="732"/>
      <c r="BJ28" s="732"/>
      <c r="BK28" s="732"/>
      <c r="BL28" s="732"/>
      <c r="BM28" s="732"/>
      <c r="BN28" s="732"/>
      <c r="BO28" s="732"/>
      <c r="BP28" s="732"/>
      <c r="BQ28" s="732"/>
      <c r="BR28" s="732"/>
      <c r="BS28" s="732"/>
      <c r="BT28" s="732"/>
      <c r="BU28" s="732"/>
      <c r="BV28" s="732"/>
      <c r="BW28" s="732"/>
      <c r="BX28" s="732"/>
      <c r="BY28" s="732"/>
      <c r="BZ28" s="732"/>
      <c r="CA28" s="732"/>
      <c r="CB28" s="732"/>
      <c r="CC28" s="732"/>
      <c r="CD28" s="732"/>
      <c r="CE28" s="732"/>
      <c r="CF28" s="732"/>
      <c r="CG28" s="732"/>
      <c r="CH28" s="732"/>
      <c r="CI28" s="732"/>
      <c r="CJ28" s="732"/>
      <c r="CK28" s="732"/>
      <c r="CL28" s="732"/>
      <c r="CM28" s="732"/>
      <c r="CN28" s="732"/>
      <c r="CO28" s="732"/>
      <c r="CP28" s="732"/>
      <c r="CQ28" s="408"/>
      <c r="CR28" s="408"/>
      <c r="CS28" s="408"/>
      <c r="CT28" s="408"/>
      <c r="CU28" s="408"/>
      <c r="CV28" s="408" t="s">
        <v>284</v>
      </c>
      <c r="CW28" s="411" t="s">
        <v>276</v>
      </c>
      <c r="CX28" s="370"/>
      <c r="DF28" s="367" t="s">
        <v>285</v>
      </c>
    </row>
    <row r="29" spans="1:110" s="367" customFormat="1" ht="3.75" customHeight="1">
      <c r="A29" s="401"/>
      <c r="B29" s="414"/>
      <c r="C29" s="415"/>
      <c r="D29" s="416"/>
      <c r="E29" s="416"/>
      <c r="F29" s="416"/>
      <c r="G29" s="416"/>
      <c r="H29" s="416"/>
      <c r="I29" s="416"/>
      <c r="J29" s="416"/>
      <c r="K29" s="416"/>
      <c r="L29" s="416"/>
      <c r="M29" s="416"/>
      <c r="N29" s="416"/>
      <c r="O29" s="416"/>
      <c r="P29" s="416"/>
      <c r="Q29" s="416"/>
      <c r="R29" s="416"/>
      <c r="S29" s="417"/>
      <c r="T29" s="417"/>
      <c r="U29" s="418"/>
      <c r="V29" s="418"/>
      <c r="W29" s="418"/>
      <c r="X29" s="418"/>
      <c r="Y29" s="417"/>
      <c r="Z29" s="417"/>
      <c r="AA29" s="417"/>
      <c r="AB29" s="417"/>
      <c r="AC29" s="417"/>
      <c r="AD29" s="417"/>
      <c r="AE29" s="417"/>
      <c r="AF29" s="417"/>
      <c r="AG29" s="417"/>
      <c r="AH29" s="417"/>
      <c r="AI29" s="417"/>
      <c r="AJ29" s="417"/>
      <c r="AK29" s="417"/>
      <c r="AL29" s="417"/>
      <c r="AM29" s="417"/>
      <c r="AN29" s="417"/>
      <c r="AO29" s="417"/>
      <c r="AP29" s="417"/>
      <c r="AQ29" s="417"/>
      <c r="AR29" s="417"/>
      <c r="AS29" s="417"/>
      <c r="AT29" s="417"/>
      <c r="AU29" s="417"/>
      <c r="AV29" s="417"/>
      <c r="AW29" s="417"/>
      <c r="AX29" s="417"/>
      <c r="AY29" s="417"/>
      <c r="AZ29" s="417"/>
      <c r="BA29" s="417"/>
      <c r="BB29" s="417"/>
      <c r="BC29" s="417"/>
      <c r="BD29" s="417"/>
      <c r="BE29" s="417"/>
      <c r="BF29" s="417"/>
      <c r="BG29" s="417"/>
      <c r="BH29" s="417"/>
      <c r="BI29" s="417"/>
      <c r="BJ29" s="417"/>
      <c r="BK29" s="417"/>
      <c r="BL29" s="417"/>
      <c r="BM29" s="417"/>
      <c r="BN29" s="417"/>
      <c r="BO29" s="417"/>
      <c r="BP29" s="416"/>
      <c r="BQ29" s="416"/>
      <c r="BR29" s="416"/>
      <c r="BS29" s="416"/>
      <c r="BT29" s="416"/>
      <c r="BU29" s="416"/>
      <c r="BV29" s="416"/>
      <c r="BW29" s="416"/>
      <c r="BX29" s="416"/>
      <c r="BY29" s="416"/>
      <c r="BZ29" s="416"/>
      <c r="CA29" s="416"/>
      <c r="CB29" s="416"/>
      <c r="CC29" s="416"/>
      <c r="CD29" s="416"/>
      <c r="CE29" s="416"/>
      <c r="CF29" s="416"/>
      <c r="CG29" s="416"/>
      <c r="CH29" s="416"/>
      <c r="CI29" s="416"/>
      <c r="CJ29" s="416"/>
      <c r="CK29" s="416"/>
      <c r="CL29" s="416"/>
      <c r="CM29" s="416"/>
      <c r="CN29" s="416"/>
      <c r="CO29" s="416"/>
      <c r="CP29" s="416"/>
      <c r="CQ29" s="416"/>
      <c r="CR29" s="416"/>
      <c r="CS29" s="416"/>
      <c r="CT29" s="416"/>
      <c r="CU29" s="416"/>
      <c r="CV29" s="416"/>
      <c r="CW29" s="419"/>
      <c r="CX29" s="370"/>
    </row>
    <row r="30" spans="1:110" s="367" customFormat="1" ht="3.75" customHeight="1">
      <c r="A30" s="401"/>
      <c r="B30" s="420"/>
      <c r="C30" s="421"/>
      <c r="D30" s="388"/>
      <c r="E30" s="388"/>
      <c r="F30" s="388"/>
      <c r="G30" s="388"/>
      <c r="H30" s="388"/>
      <c r="I30" s="388"/>
      <c r="J30" s="388"/>
      <c r="K30" s="388"/>
      <c r="L30" s="388"/>
      <c r="M30" s="388"/>
      <c r="N30" s="388"/>
      <c r="O30" s="388"/>
      <c r="P30" s="388"/>
      <c r="Q30" s="388"/>
      <c r="R30" s="388"/>
      <c r="S30" s="422"/>
      <c r="T30" s="422"/>
      <c r="U30" s="423"/>
      <c r="V30" s="423"/>
      <c r="W30" s="423"/>
      <c r="X30" s="423"/>
      <c r="Y30" s="422"/>
      <c r="Z30" s="422"/>
      <c r="AA30" s="422"/>
      <c r="AB30" s="422"/>
      <c r="AC30" s="422"/>
      <c r="AD30" s="422"/>
      <c r="AE30" s="422"/>
      <c r="AF30" s="422"/>
      <c r="AG30" s="422"/>
      <c r="AH30" s="422"/>
      <c r="AI30" s="422"/>
      <c r="AJ30" s="422"/>
      <c r="AK30" s="422"/>
      <c r="AL30" s="422"/>
      <c r="AM30" s="422"/>
      <c r="AN30" s="422"/>
      <c r="AO30" s="422"/>
      <c r="AP30" s="422"/>
      <c r="AQ30" s="422"/>
      <c r="AR30" s="422"/>
      <c r="AS30" s="422"/>
      <c r="AT30" s="422"/>
      <c r="AU30" s="422"/>
      <c r="AV30" s="422"/>
      <c r="AW30" s="422"/>
      <c r="AX30" s="422"/>
      <c r="AY30" s="422"/>
      <c r="AZ30" s="422"/>
      <c r="BA30" s="422"/>
      <c r="BB30" s="422"/>
      <c r="BC30" s="422"/>
      <c r="BD30" s="422"/>
      <c r="BE30" s="422"/>
      <c r="BF30" s="422"/>
      <c r="BG30" s="422"/>
      <c r="BH30" s="422"/>
      <c r="BI30" s="422"/>
      <c r="BJ30" s="422"/>
      <c r="BK30" s="422"/>
      <c r="BL30" s="422"/>
      <c r="BM30" s="422"/>
      <c r="BN30" s="422"/>
      <c r="BO30" s="422"/>
      <c r="BP30" s="388"/>
      <c r="BQ30" s="388"/>
      <c r="BR30" s="388"/>
      <c r="BS30" s="388"/>
      <c r="BT30" s="388"/>
      <c r="BU30" s="388"/>
      <c r="BV30" s="388"/>
      <c r="BW30" s="388"/>
      <c r="BX30" s="388"/>
      <c r="BY30" s="388"/>
      <c r="BZ30" s="388"/>
      <c r="CA30" s="388"/>
      <c r="CB30" s="388"/>
      <c r="CC30" s="388"/>
      <c r="CD30" s="388"/>
      <c r="CE30" s="388"/>
      <c r="CF30" s="388"/>
      <c r="CG30" s="388"/>
      <c r="CH30" s="388"/>
      <c r="CI30" s="388"/>
      <c r="CJ30" s="388"/>
      <c r="CK30" s="388"/>
      <c r="CL30" s="388"/>
      <c r="CM30" s="388"/>
      <c r="CN30" s="388"/>
      <c r="CO30" s="388"/>
      <c r="CP30" s="388"/>
      <c r="CQ30" s="388"/>
      <c r="CR30" s="388"/>
      <c r="CS30" s="388"/>
      <c r="CT30" s="388"/>
      <c r="CU30" s="388"/>
      <c r="CV30" s="388"/>
      <c r="CW30" s="424"/>
      <c r="CX30" s="370"/>
    </row>
    <row r="31" spans="1:110" s="367" customFormat="1" ht="16.5" customHeight="1">
      <c r="A31" s="383"/>
      <c r="B31" s="425" t="s">
        <v>286</v>
      </c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8"/>
      <c r="P31" s="368"/>
      <c r="Q31" s="368"/>
      <c r="U31" s="718"/>
      <c r="V31" s="719"/>
      <c r="W31" s="719"/>
      <c r="X31" s="719"/>
      <c r="Y31" s="719"/>
      <c r="Z31" s="719"/>
      <c r="AA31" s="719"/>
      <c r="AB31" s="425" t="s">
        <v>287</v>
      </c>
      <c r="AC31" s="368"/>
      <c r="AD31" s="368"/>
      <c r="AE31" s="368"/>
      <c r="AF31" s="368"/>
      <c r="AG31" s="368"/>
      <c r="AH31" s="368"/>
      <c r="AI31" s="368"/>
      <c r="AJ31" s="368"/>
      <c r="AK31" s="368"/>
      <c r="AL31" s="368"/>
      <c r="AM31" s="368"/>
      <c r="AN31" s="368"/>
      <c r="AO31" s="368"/>
      <c r="AP31" s="426"/>
      <c r="AS31" s="720"/>
      <c r="AT31" s="720"/>
      <c r="AU31" s="720"/>
      <c r="AV31" s="720"/>
      <c r="AW31" s="720"/>
      <c r="AX31" s="720"/>
      <c r="AY31" s="425" t="s">
        <v>288</v>
      </c>
      <c r="AZ31" s="368"/>
      <c r="BA31" s="368"/>
      <c r="BB31" s="368"/>
      <c r="BC31" s="368"/>
      <c r="BD31" s="368"/>
      <c r="BE31" s="368"/>
      <c r="BF31" s="368"/>
      <c r="BG31" s="368"/>
      <c r="BH31" s="368"/>
      <c r="BI31" s="368"/>
      <c r="BJ31" s="368"/>
      <c r="BK31" s="368"/>
      <c r="BL31" s="368"/>
      <c r="BM31" s="368"/>
      <c r="BN31" s="368"/>
      <c r="BO31" s="368"/>
      <c r="BP31" s="368"/>
      <c r="BQ31" s="368"/>
      <c r="BR31" s="368"/>
      <c r="BS31" s="368"/>
      <c r="BT31" s="368"/>
      <c r="BU31" s="368"/>
      <c r="BV31" s="368"/>
      <c r="BW31" s="368"/>
      <c r="BX31" s="368"/>
      <c r="BY31" s="368"/>
      <c r="BZ31" s="368"/>
      <c r="CA31" s="368"/>
      <c r="CB31" s="368"/>
      <c r="CC31" s="368"/>
      <c r="CD31" s="368"/>
      <c r="CE31" s="368"/>
      <c r="CF31" s="368"/>
      <c r="CG31" s="368"/>
      <c r="CH31" s="368"/>
      <c r="CI31" s="368"/>
      <c r="CJ31" s="721"/>
      <c r="CK31" s="721"/>
      <c r="CL31" s="721"/>
      <c r="CM31" s="721"/>
      <c r="CN31" s="721"/>
      <c r="CO31" s="721"/>
      <c r="CP31" s="721"/>
      <c r="CQ31" s="721"/>
      <c r="CR31" s="721"/>
      <c r="CS31" s="721"/>
      <c r="CT31" s="721"/>
      <c r="CU31" s="721"/>
      <c r="CV31" s="721"/>
      <c r="CW31" s="721"/>
      <c r="CX31" s="370"/>
    </row>
    <row r="32" spans="1:110" s="367" customFormat="1" ht="16.5" customHeight="1">
      <c r="A32" s="383"/>
      <c r="B32" s="713"/>
      <c r="C32" s="714"/>
      <c r="D32" s="714"/>
      <c r="E32" s="714"/>
      <c r="F32" s="714"/>
      <c r="G32" s="714"/>
      <c r="H32" s="714"/>
      <c r="I32" s="714"/>
      <c r="J32" s="714"/>
      <c r="K32" s="714"/>
      <c r="L32" s="714"/>
      <c r="M32" s="714"/>
      <c r="N32" s="714"/>
      <c r="O32" s="714"/>
      <c r="P32" s="714"/>
      <c r="Q32" s="714"/>
      <c r="R32" s="714"/>
      <c r="S32" s="714"/>
      <c r="T32" s="714"/>
      <c r="U32" s="714"/>
      <c r="V32" s="714"/>
      <c r="W32" s="714"/>
      <c r="X32" s="714"/>
      <c r="Y32" s="714"/>
      <c r="Z32" s="714"/>
      <c r="AA32" s="714"/>
      <c r="AB32" s="714"/>
      <c r="AC32" s="714"/>
      <c r="AD32" s="714"/>
      <c r="AE32" s="714"/>
      <c r="AF32" s="714"/>
      <c r="AG32" s="714"/>
      <c r="AH32" s="714"/>
      <c r="AI32" s="714"/>
      <c r="AJ32" s="714"/>
      <c r="AK32" s="714"/>
      <c r="AL32" s="714"/>
      <c r="AM32" s="714"/>
      <c r="AN32" s="714"/>
      <c r="AO32" s="714"/>
      <c r="AP32" s="714"/>
      <c r="AQ32" s="714"/>
      <c r="AR32" s="714"/>
      <c r="AS32" s="714"/>
      <c r="AT32" s="714"/>
      <c r="AU32" s="714"/>
      <c r="AV32" s="714"/>
      <c r="AW32" s="714"/>
      <c r="AX32" s="714"/>
      <c r="AY32" s="714"/>
      <c r="AZ32" s="714"/>
      <c r="BA32" s="714"/>
      <c r="BB32" s="714"/>
      <c r="BC32" s="714"/>
      <c r="BD32" s="714"/>
      <c r="BE32" s="714"/>
      <c r="BF32" s="714"/>
      <c r="BG32" s="714"/>
      <c r="BH32" s="714"/>
      <c r="BI32" s="714"/>
      <c r="BJ32" s="714"/>
      <c r="BK32" s="714"/>
      <c r="BL32" s="714"/>
      <c r="BM32" s="714"/>
      <c r="BN32" s="714"/>
      <c r="BO32" s="714"/>
      <c r="BP32" s="714"/>
      <c r="BQ32" s="714"/>
      <c r="BR32" s="714"/>
      <c r="BS32" s="714"/>
      <c r="BT32" s="714"/>
      <c r="BU32" s="714"/>
      <c r="BV32" s="714"/>
      <c r="BW32" s="714"/>
      <c r="BX32" s="714"/>
      <c r="BY32" s="714"/>
      <c r="BZ32" s="714"/>
      <c r="CA32" s="714"/>
      <c r="CB32" s="714"/>
      <c r="CC32" s="714"/>
      <c r="CD32" s="714"/>
      <c r="CE32" s="714"/>
      <c r="CF32" s="714"/>
      <c r="CG32" s="714"/>
      <c r="CH32" s="714"/>
      <c r="CI32" s="714"/>
      <c r="CJ32" s="714"/>
      <c r="CK32" s="714"/>
      <c r="CL32" s="714"/>
      <c r="CM32" s="714"/>
      <c r="CN32" s="714"/>
      <c r="CO32" s="714"/>
      <c r="CP32" s="714"/>
      <c r="CQ32" s="714"/>
      <c r="CR32" s="714"/>
      <c r="CS32" s="714"/>
      <c r="CT32" s="714"/>
      <c r="CU32" s="714"/>
      <c r="CV32" s="714"/>
      <c r="CW32" s="714"/>
      <c r="CX32" s="370"/>
    </row>
    <row r="33" spans="1:114" s="367" customFormat="1" ht="16.5" customHeight="1">
      <c r="A33" s="383"/>
      <c r="B33" s="427"/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  <c r="Q33" s="427"/>
      <c r="R33" s="427"/>
      <c r="S33" s="427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  <c r="BF33" s="427"/>
      <c r="BG33" s="427"/>
      <c r="BH33" s="427"/>
      <c r="BI33" s="427"/>
      <c r="BJ33" s="427"/>
      <c r="BK33" s="427"/>
      <c r="BL33" s="427"/>
      <c r="BM33" s="427"/>
      <c r="BN33" s="427"/>
      <c r="BO33" s="427"/>
      <c r="BP33" s="427"/>
      <c r="BQ33" s="427"/>
      <c r="BR33" s="427"/>
      <c r="BS33" s="427"/>
      <c r="BT33" s="427"/>
      <c r="BU33" s="427"/>
      <c r="BV33" s="427"/>
      <c r="BW33" s="427"/>
      <c r="BX33" s="427"/>
      <c r="BY33" s="427"/>
      <c r="BZ33" s="427"/>
      <c r="CA33" s="427"/>
      <c r="CB33" s="427"/>
      <c r="CC33" s="427"/>
      <c r="CD33" s="427"/>
      <c r="CE33" s="427"/>
      <c r="CF33" s="427"/>
      <c r="CG33" s="427"/>
      <c r="CH33" s="427"/>
      <c r="CI33" s="427"/>
      <c r="CJ33" s="427"/>
      <c r="CK33" s="427"/>
      <c r="CL33" s="427"/>
      <c r="CM33" s="427"/>
      <c r="CN33" s="427"/>
      <c r="CO33" s="427"/>
      <c r="CP33" s="427"/>
      <c r="CQ33" s="427"/>
      <c r="CR33" s="427"/>
      <c r="CS33" s="427"/>
      <c r="CT33" s="427"/>
      <c r="CU33" s="427"/>
      <c r="CV33" s="427"/>
      <c r="CW33" s="427"/>
      <c r="CX33" s="370"/>
    </row>
    <row r="34" spans="1:114" s="367" customFormat="1" ht="16.5" customHeight="1">
      <c r="A34" s="383"/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715"/>
      <c r="AB34" s="715"/>
      <c r="AC34" s="715"/>
      <c r="AD34" s="715"/>
      <c r="AE34" s="715"/>
      <c r="AF34" s="715"/>
      <c r="AG34" s="715"/>
      <c r="AH34" s="428"/>
      <c r="AI34" s="428"/>
      <c r="AJ34" s="428"/>
      <c r="AK34" s="428"/>
      <c r="AL34" s="428"/>
      <c r="AM34" s="428"/>
      <c r="AN34" s="428"/>
      <c r="AO34" s="428"/>
      <c r="AP34" s="428"/>
      <c r="AQ34" s="428"/>
      <c r="AR34" s="428"/>
      <c r="AS34" s="428"/>
      <c r="AT34" s="428"/>
      <c r="AU34" s="428"/>
      <c r="AV34" s="428"/>
      <c r="AW34" s="428"/>
      <c r="AX34" s="428"/>
      <c r="AY34" s="428"/>
      <c r="AZ34" s="428"/>
      <c r="BA34" s="428"/>
      <c r="BB34" s="428"/>
      <c r="BC34" s="428"/>
      <c r="BD34" s="428" t="s">
        <v>289</v>
      </c>
      <c r="BE34" s="716"/>
      <c r="BF34" s="716"/>
      <c r="BG34" s="716"/>
      <c r="BH34" s="716"/>
      <c r="BI34" s="716"/>
      <c r="BJ34" s="428"/>
      <c r="BK34" s="428" t="s">
        <v>290</v>
      </c>
      <c r="BL34" s="716"/>
      <c r="BM34" s="716"/>
      <c r="BN34" s="716"/>
      <c r="BO34" s="716"/>
      <c r="BP34" s="716"/>
      <c r="BQ34" s="428"/>
      <c r="BR34" s="428"/>
      <c r="BS34" s="428"/>
      <c r="BT34" s="428"/>
      <c r="BU34" s="428"/>
      <c r="BV34" s="428"/>
      <c r="BW34" s="428"/>
      <c r="BX34" s="428"/>
      <c r="BY34" s="427" t="s">
        <v>291</v>
      </c>
      <c r="BZ34" s="715"/>
      <c r="CA34" s="715"/>
      <c r="CB34" s="715"/>
      <c r="CC34" s="715"/>
      <c r="CD34" s="715"/>
      <c r="CE34" s="428"/>
      <c r="CF34" s="428"/>
      <c r="CG34" s="428"/>
      <c r="CH34" s="428"/>
      <c r="CI34" s="428"/>
      <c r="CJ34" s="428"/>
      <c r="CK34" s="428"/>
      <c r="CL34" s="428"/>
      <c r="CM34" s="428"/>
      <c r="CN34" s="428"/>
      <c r="CO34" s="428"/>
      <c r="CP34" s="428"/>
      <c r="CQ34" s="428"/>
      <c r="CR34" s="428"/>
      <c r="CS34" s="428"/>
      <c r="CT34" s="428"/>
      <c r="CU34" s="428"/>
      <c r="CV34" s="428"/>
      <c r="CW34" s="428" t="s">
        <v>292</v>
      </c>
      <c r="CX34" s="370"/>
    </row>
    <row r="35" spans="1:114" s="367" customFormat="1" ht="16.5" customHeight="1">
      <c r="A35" s="383"/>
      <c r="B35" s="429"/>
      <c r="C35" s="715"/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715"/>
      <c r="O35" s="715"/>
      <c r="P35" s="715"/>
      <c r="Q35" s="715"/>
      <c r="R35" s="715"/>
      <c r="S35" s="715"/>
      <c r="T35" s="715"/>
      <c r="U35" s="715"/>
      <c r="V35" s="715"/>
      <c r="W35" s="715"/>
      <c r="X35" s="715"/>
      <c r="Y35" s="715"/>
      <c r="Z35" s="715"/>
      <c r="AA35" s="715"/>
      <c r="AB35" s="715"/>
      <c r="AC35" s="715"/>
      <c r="AD35" s="715"/>
      <c r="AE35" s="715"/>
      <c r="AF35" s="715"/>
      <c r="AG35" s="715"/>
      <c r="AH35" s="715"/>
      <c r="AI35" s="715"/>
      <c r="AJ35" s="715"/>
      <c r="AK35" s="715"/>
      <c r="AL35" s="715"/>
      <c r="AM35" s="715"/>
      <c r="AN35" s="715"/>
      <c r="AO35" s="715"/>
      <c r="AP35" s="715"/>
      <c r="AQ35" s="715"/>
      <c r="AR35" s="715"/>
      <c r="AS35" s="715"/>
      <c r="AT35" s="715"/>
      <c r="AU35" s="715"/>
      <c r="AV35" s="715"/>
      <c r="AW35" s="715"/>
      <c r="AX35" s="715"/>
      <c r="AY35" s="715"/>
      <c r="AZ35" s="715"/>
      <c r="BA35" s="715"/>
      <c r="BB35" s="715"/>
      <c r="BC35" s="715"/>
      <c r="BD35" s="715"/>
      <c r="BE35" s="715"/>
      <c r="BF35" s="715"/>
      <c r="BG35" s="715"/>
      <c r="BH35" s="715"/>
      <c r="BI35" s="715"/>
      <c r="BJ35" s="715"/>
      <c r="BK35" s="715"/>
      <c r="BL35" s="715"/>
      <c r="BM35" s="715"/>
      <c r="BN35" s="715"/>
      <c r="BO35" s="715"/>
      <c r="BP35" s="715"/>
      <c r="BQ35" s="715"/>
      <c r="BR35" s="715"/>
      <c r="BS35" s="715"/>
      <c r="BT35" s="715"/>
      <c r="BU35" s="715"/>
      <c r="BV35" s="715"/>
      <c r="BW35" s="715"/>
      <c r="BX35" s="715"/>
      <c r="BY35" s="715"/>
      <c r="BZ35" s="715"/>
      <c r="CA35" s="715"/>
      <c r="CB35" s="715"/>
      <c r="CC35" s="715"/>
      <c r="CD35" s="715"/>
      <c r="CE35" s="715"/>
      <c r="CF35" s="715"/>
      <c r="CG35" s="715"/>
      <c r="CH35" s="715"/>
      <c r="CI35" s="715"/>
      <c r="CJ35" s="715"/>
      <c r="CK35" s="715"/>
      <c r="CL35" s="715"/>
      <c r="CM35" s="715"/>
      <c r="CN35" s="715"/>
      <c r="CO35" s="715"/>
      <c r="CP35" s="715"/>
      <c r="CQ35" s="715"/>
      <c r="CR35" s="715"/>
      <c r="CS35" s="715"/>
      <c r="CT35" s="715"/>
      <c r="CU35" s="715"/>
      <c r="CV35" s="715"/>
      <c r="CW35" s="715"/>
      <c r="CX35" s="717"/>
      <c r="DA35" s="430"/>
      <c r="DB35" s="430"/>
      <c r="DC35" s="430"/>
      <c r="DD35" s="430"/>
      <c r="DE35" s="430"/>
      <c r="DF35" s="430"/>
      <c r="DG35" s="430"/>
      <c r="DH35" s="430"/>
      <c r="DI35" s="430"/>
      <c r="DJ35" s="430"/>
    </row>
    <row r="36" spans="1:114" s="367" customFormat="1" ht="10.5" customHeight="1">
      <c r="A36" s="383"/>
      <c r="B36" s="429"/>
      <c r="C36" s="429"/>
      <c r="D36" s="429"/>
      <c r="E36" s="429"/>
      <c r="F36" s="429"/>
      <c r="G36" s="429"/>
      <c r="H36" s="429"/>
      <c r="I36" s="429"/>
      <c r="J36" s="429"/>
      <c r="K36" s="429"/>
      <c r="L36" s="429"/>
      <c r="M36" s="429"/>
      <c r="N36" s="429"/>
      <c r="O36" s="429"/>
      <c r="P36" s="429"/>
      <c r="Q36" s="429"/>
      <c r="R36" s="429"/>
      <c r="S36" s="429"/>
      <c r="T36" s="429"/>
      <c r="U36" s="429"/>
      <c r="V36" s="429"/>
      <c r="W36" s="429"/>
      <c r="X36" s="429"/>
      <c r="Y36" s="429"/>
      <c r="Z36" s="429"/>
      <c r="AA36" s="429"/>
      <c r="AB36" s="429"/>
      <c r="AC36" s="429"/>
      <c r="AD36" s="429"/>
      <c r="AE36" s="429"/>
      <c r="AF36" s="429"/>
      <c r="AG36" s="429"/>
      <c r="AH36" s="429"/>
      <c r="AI36" s="429"/>
      <c r="AJ36" s="429"/>
      <c r="AK36" s="429"/>
      <c r="AL36" s="429"/>
      <c r="AM36" s="429"/>
      <c r="AN36" s="429"/>
      <c r="AO36" s="429"/>
      <c r="AP36" s="429"/>
      <c r="AQ36" s="429"/>
      <c r="AR36" s="429"/>
      <c r="AS36" s="429"/>
      <c r="AT36" s="429"/>
      <c r="AU36" s="429"/>
      <c r="AV36" s="429"/>
      <c r="AW36" s="429"/>
      <c r="AX36" s="429"/>
      <c r="AY36" s="429"/>
      <c r="AZ36" s="429"/>
      <c r="BA36" s="429"/>
      <c r="BB36" s="429"/>
      <c r="BC36" s="429"/>
      <c r="BD36" s="429"/>
      <c r="BE36" s="429"/>
      <c r="BF36" s="429"/>
      <c r="BG36" s="429"/>
      <c r="BH36" s="429"/>
      <c r="BI36" s="429"/>
      <c r="BJ36" s="429"/>
      <c r="BK36" s="429"/>
      <c r="BL36" s="429"/>
      <c r="BM36" s="429"/>
      <c r="BN36" s="429"/>
      <c r="BO36" s="429"/>
      <c r="BP36" s="429"/>
      <c r="BQ36" s="429"/>
      <c r="BR36" s="429"/>
      <c r="BS36" s="429"/>
      <c r="BT36" s="429"/>
      <c r="BU36" s="429"/>
      <c r="BV36" s="429"/>
      <c r="BW36" s="429"/>
      <c r="BX36" s="429"/>
      <c r="BY36" s="429"/>
      <c r="BZ36" s="429"/>
      <c r="CA36" s="429"/>
      <c r="CB36" s="429"/>
      <c r="CC36" s="431"/>
      <c r="CD36" s="429"/>
      <c r="CE36" s="429"/>
      <c r="CF36" s="429"/>
      <c r="CG36" s="429"/>
      <c r="CH36" s="429"/>
      <c r="CI36" s="429"/>
      <c r="CJ36" s="429"/>
      <c r="CK36" s="429"/>
      <c r="CL36" s="429"/>
      <c r="CM36" s="429"/>
      <c r="CN36" s="429"/>
      <c r="CO36" s="429"/>
      <c r="CP36" s="429"/>
      <c r="CQ36" s="429"/>
      <c r="CR36" s="429"/>
      <c r="CS36" s="429"/>
      <c r="CT36" s="429"/>
      <c r="CU36" s="429"/>
      <c r="CV36" s="429"/>
      <c r="CX36" s="370"/>
      <c r="DA36" s="430"/>
      <c r="DB36" s="430"/>
      <c r="DC36" s="430"/>
      <c r="DD36" s="430"/>
      <c r="DE36" s="430"/>
      <c r="DF36" s="430"/>
      <c r="DG36" s="430"/>
      <c r="DH36" s="430"/>
      <c r="DI36" s="430"/>
      <c r="DJ36" s="430"/>
    </row>
    <row r="37" spans="1:114" s="367" customFormat="1" ht="12" customHeight="1">
      <c r="A37" s="383"/>
      <c r="B37" s="432"/>
      <c r="C37" s="432"/>
      <c r="D37" s="432"/>
      <c r="E37" s="432"/>
      <c r="F37" s="432"/>
      <c r="G37" s="432"/>
      <c r="H37" s="432"/>
      <c r="I37" s="432"/>
      <c r="J37" s="432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29"/>
      <c r="V37" s="429"/>
      <c r="W37" s="429"/>
      <c r="X37" s="433"/>
      <c r="Y37" s="434"/>
      <c r="Z37" s="434"/>
      <c r="AA37" s="434"/>
      <c r="AB37" s="435"/>
      <c r="AC37" s="388"/>
      <c r="AD37" s="388"/>
      <c r="AE37" s="388"/>
      <c r="AF37" s="388"/>
      <c r="AG37" s="388"/>
      <c r="AH37" s="388"/>
      <c r="AI37" s="388"/>
      <c r="AJ37" s="388"/>
      <c r="AK37" s="388"/>
      <c r="AL37" s="388"/>
      <c r="AM37" s="388"/>
      <c r="AN37" s="388"/>
      <c r="AO37" s="388"/>
      <c r="AP37" s="388"/>
      <c r="AQ37" s="388"/>
      <c r="AR37" s="388"/>
      <c r="AS37" s="388"/>
      <c r="AT37" s="388"/>
      <c r="AU37" s="388"/>
      <c r="AV37" s="388"/>
      <c r="AW37" s="388"/>
      <c r="AX37" s="388"/>
      <c r="AY37" s="388"/>
      <c r="AZ37" s="388"/>
      <c r="BA37" s="388"/>
      <c r="BB37" s="388"/>
      <c r="BC37" s="388"/>
      <c r="BD37" s="388"/>
      <c r="BE37" s="388"/>
      <c r="BF37" s="388"/>
      <c r="BG37" s="388"/>
      <c r="BH37" s="388"/>
      <c r="BI37" s="388"/>
      <c r="BJ37" s="388"/>
      <c r="BK37" s="388"/>
      <c r="BL37" s="388"/>
      <c r="BM37" s="388"/>
      <c r="BN37" s="388"/>
      <c r="BO37" s="388"/>
      <c r="BP37" s="388"/>
      <c r="BQ37" s="388"/>
      <c r="BR37" s="388"/>
      <c r="BS37" s="388"/>
      <c r="BU37" s="436"/>
      <c r="BV37" s="436"/>
      <c r="BW37" s="436"/>
      <c r="BX37" s="436"/>
      <c r="BY37" s="436"/>
      <c r="BZ37" s="436"/>
      <c r="CA37" s="436"/>
      <c r="CB37" s="436"/>
      <c r="CC37" s="437"/>
      <c r="CD37" s="437"/>
      <c r="CE37" s="437"/>
      <c r="CF37" s="437"/>
      <c r="CG37" s="437"/>
      <c r="CH37" s="437"/>
      <c r="CI37" s="437"/>
      <c r="CJ37" s="437"/>
      <c r="CK37" s="437"/>
      <c r="CL37" s="438"/>
      <c r="CM37" s="437"/>
      <c r="CN37" s="437"/>
      <c r="CO37" s="437"/>
      <c r="CP37" s="437"/>
      <c r="CQ37" s="437"/>
      <c r="CR37" s="437"/>
      <c r="CS37" s="437"/>
      <c r="CT37" s="437"/>
      <c r="CU37" s="437"/>
      <c r="CV37" s="437"/>
      <c r="CW37" s="437"/>
      <c r="CX37" s="370"/>
    </row>
    <row r="38" spans="1:114" s="367" customFormat="1" ht="12" customHeight="1">
      <c r="A38" s="383"/>
      <c r="B38" s="432"/>
      <c r="C38" s="432"/>
      <c r="D38" s="439" t="s">
        <v>293</v>
      </c>
      <c r="E38" s="440"/>
      <c r="F38" s="440"/>
      <c r="G38" s="440"/>
      <c r="H38" s="440"/>
      <c r="I38" s="440"/>
      <c r="J38" s="440"/>
      <c r="K38" s="440"/>
      <c r="L38" s="440"/>
      <c r="M38" s="440"/>
      <c r="N38" s="440"/>
      <c r="O38" s="440"/>
      <c r="P38" s="440"/>
      <c r="Q38" s="440"/>
      <c r="R38" s="440"/>
      <c r="S38" s="440"/>
      <c r="T38" s="440"/>
      <c r="U38" s="441"/>
      <c r="V38" s="441"/>
      <c r="W38" s="441"/>
      <c r="X38" s="442"/>
      <c r="Y38" s="442"/>
      <c r="Z38" s="442"/>
      <c r="AA38" s="442"/>
      <c r="AB38" s="443"/>
      <c r="AC38" s="443"/>
      <c r="AD38" s="443"/>
      <c r="AE38" s="443"/>
      <c r="AF38" s="443"/>
      <c r="AG38" s="443"/>
      <c r="AH38" s="443"/>
      <c r="AI38" s="443"/>
      <c r="AJ38" s="443"/>
      <c r="AK38" s="443"/>
      <c r="AL38" s="443"/>
      <c r="AM38" s="443"/>
      <c r="AN38" s="443"/>
      <c r="AO38" s="443"/>
      <c r="AP38" s="443"/>
      <c r="AQ38" s="443"/>
      <c r="AR38" s="443"/>
      <c r="AS38" s="443"/>
      <c r="AT38" s="388"/>
      <c r="AU38" s="388"/>
      <c r="AV38" s="388"/>
      <c r="AW38" s="388"/>
      <c r="AX38" s="388"/>
      <c r="AY38" s="388"/>
      <c r="AZ38" s="388"/>
      <c r="BA38" s="388"/>
      <c r="BB38" s="388"/>
      <c r="BC38" s="388"/>
      <c r="BD38" s="388"/>
      <c r="BE38" s="388"/>
      <c r="BF38" s="388"/>
      <c r="BG38" s="388"/>
      <c r="BH38" s="388"/>
      <c r="BI38" s="388"/>
      <c r="BJ38" s="388"/>
      <c r="BK38" s="388"/>
      <c r="BL38" s="388"/>
      <c r="BM38" s="388"/>
      <c r="BN38" s="388"/>
      <c r="BO38" s="388"/>
      <c r="BP38" s="388"/>
      <c r="BQ38" s="388"/>
      <c r="BR38" s="388"/>
      <c r="BS38" s="388"/>
      <c r="BU38" s="444"/>
      <c r="BV38" s="444"/>
      <c r="BW38" s="444"/>
      <c r="BX38" s="444"/>
      <c r="BY38" s="444"/>
      <c r="BZ38" s="444"/>
      <c r="CA38" s="444"/>
      <c r="CB38" s="444"/>
      <c r="CC38" s="445"/>
      <c r="CD38" s="445"/>
      <c r="CE38" s="445"/>
      <c r="CF38" s="445"/>
      <c r="CG38" s="445"/>
      <c r="CH38" s="445"/>
      <c r="CI38" s="445"/>
      <c r="CJ38" s="445"/>
      <c r="CK38" s="445"/>
      <c r="CL38" s="446"/>
      <c r="CM38" s="445"/>
      <c r="CN38" s="445"/>
      <c r="CO38" s="445"/>
      <c r="CP38" s="445"/>
      <c r="CQ38" s="445"/>
      <c r="CR38" s="445"/>
      <c r="CS38" s="445"/>
      <c r="CT38" s="447" t="s">
        <v>294</v>
      </c>
      <c r="CU38" s="445"/>
      <c r="CV38" s="437"/>
      <c r="CW38" s="437"/>
      <c r="CX38" s="370"/>
    </row>
    <row r="39" spans="1:114" s="367" customFormat="1" ht="15.6">
      <c r="A39" s="383"/>
      <c r="B39" s="429"/>
      <c r="C39" s="429"/>
      <c r="D39" s="448" t="s">
        <v>295</v>
      </c>
      <c r="E39" s="366"/>
      <c r="F39" s="711" t="str">
        <f>'[3]Saisie-client'!C7</f>
        <v>SIDI BEL ABBES</v>
      </c>
      <c r="G39" s="711"/>
      <c r="H39" s="711"/>
      <c r="I39" s="711"/>
      <c r="J39" s="711"/>
      <c r="K39" s="711"/>
      <c r="L39" s="711"/>
      <c r="M39" s="711"/>
      <c r="N39" s="711"/>
      <c r="O39" s="711"/>
      <c r="P39" s="711"/>
      <c r="Q39" s="448" t="s">
        <v>296</v>
      </c>
      <c r="R39" s="366"/>
      <c r="S39" s="712">
        <f ca="1">TODAY()</f>
        <v>46190</v>
      </c>
      <c r="T39" s="711"/>
      <c r="U39" s="711"/>
      <c r="V39" s="711"/>
      <c r="W39" s="711"/>
      <c r="X39" s="711"/>
      <c r="Y39" s="711"/>
      <c r="Z39" s="711"/>
      <c r="AA39" s="711"/>
      <c r="AB39" s="711"/>
      <c r="AC39" s="711"/>
      <c r="AD39" s="366"/>
      <c r="AE39" s="366"/>
      <c r="AF39" s="366"/>
      <c r="AG39" s="366"/>
      <c r="AH39" s="366"/>
      <c r="AI39" s="366"/>
      <c r="AJ39" s="366"/>
      <c r="AK39" s="366"/>
      <c r="AL39" s="366"/>
      <c r="AM39" s="366"/>
      <c r="AN39" s="366"/>
      <c r="AO39" s="366"/>
      <c r="AP39" s="366"/>
      <c r="AQ39" s="366"/>
      <c r="AR39" s="366"/>
      <c r="AS39" s="366"/>
      <c r="BU39" s="711"/>
      <c r="BV39" s="711"/>
      <c r="BW39" s="711"/>
      <c r="BX39" s="711"/>
      <c r="BY39" s="711"/>
      <c r="BZ39" s="711"/>
      <c r="CA39" s="711"/>
      <c r="CB39" s="711"/>
      <c r="CC39" s="711"/>
      <c r="CD39" s="711"/>
      <c r="CE39" s="711"/>
      <c r="CF39" s="445"/>
      <c r="CG39" s="445" t="s">
        <v>297</v>
      </c>
      <c r="CH39" s="711"/>
      <c r="CI39" s="711"/>
      <c r="CJ39" s="711"/>
      <c r="CK39" s="711"/>
      <c r="CL39" s="711"/>
      <c r="CM39" s="711"/>
      <c r="CN39" s="711"/>
      <c r="CO39" s="711"/>
      <c r="CP39" s="711"/>
      <c r="CQ39" s="711"/>
      <c r="CR39" s="711"/>
      <c r="CS39" s="445"/>
      <c r="CT39" s="445" t="s">
        <v>298</v>
      </c>
      <c r="CU39" s="445"/>
      <c r="CV39" s="437"/>
      <c r="CW39" s="437"/>
      <c r="CX39" s="370"/>
    </row>
    <row r="40" spans="1:114" s="367" customFormat="1" ht="12" customHeight="1">
      <c r="A40" s="383"/>
      <c r="B40" s="429"/>
      <c r="C40" s="429"/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2"/>
      <c r="Y40" s="442"/>
      <c r="Z40" s="442"/>
      <c r="AA40" s="442"/>
      <c r="AB40" s="366"/>
      <c r="AC40" s="366"/>
      <c r="AD40" s="366"/>
      <c r="AE40" s="366"/>
      <c r="AF40" s="366"/>
      <c r="AG40" s="366"/>
      <c r="AH40" s="366"/>
      <c r="AI40" s="366"/>
      <c r="AJ40" s="366"/>
      <c r="AK40" s="366"/>
      <c r="AL40" s="366"/>
      <c r="AM40" s="366"/>
      <c r="AN40" s="366"/>
      <c r="AO40" s="366"/>
      <c r="AP40" s="366"/>
      <c r="AQ40" s="366"/>
      <c r="AR40" s="366"/>
      <c r="AS40" s="366"/>
      <c r="BU40" s="444"/>
      <c r="BV40" s="444"/>
      <c r="BW40" s="444"/>
      <c r="BX40" s="444"/>
      <c r="BY40" s="444"/>
      <c r="BZ40" s="444"/>
      <c r="CA40" s="444"/>
      <c r="CB40" s="444"/>
      <c r="CC40" s="445"/>
      <c r="CD40" s="445"/>
      <c r="CE40" s="445"/>
      <c r="CF40" s="445"/>
      <c r="CG40" s="445"/>
      <c r="CH40" s="445"/>
      <c r="CI40" s="445"/>
      <c r="CJ40" s="445"/>
      <c r="CK40" s="445"/>
      <c r="CL40" s="446"/>
      <c r="CM40" s="445"/>
      <c r="CN40" s="445"/>
      <c r="CO40" s="445"/>
      <c r="CP40" s="445"/>
      <c r="CQ40" s="445"/>
      <c r="CR40" s="445"/>
      <c r="CS40" s="445"/>
      <c r="CT40" s="445"/>
      <c r="CU40" s="445"/>
      <c r="CV40" s="437"/>
      <c r="CW40" s="437"/>
      <c r="CX40" s="370"/>
    </row>
    <row r="41" spans="1:114" s="367" customFormat="1" ht="12" customHeight="1">
      <c r="A41" s="383"/>
      <c r="B41" s="429"/>
      <c r="C41" s="429"/>
      <c r="D41" s="449" t="s">
        <v>299</v>
      </c>
      <c r="E41" s="441"/>
      <c r="F41" s="441"/>
      <c r="G41" s="441"/>
      <c r="H41" s="441"/>
      <c r="I41" s="441"/>
      <c r="J41" s="441"/>
      <c r="K41" s="441"/>
      <c r="L41" s="441"/>
      <c r="M41" s="441"/>
      <c r="N41" s="441"/>
      <c r="O41" s="441"/>
      <c r="P41" s="441"/>
      <c r="Q41" s="441"/>
      <c r="R41" s="441"/>
      <c r="S41" s="441"/>
      <c r="T41" s="441"/>
      <c r="U41" s="441"/>
      <c r="V41" s="441"/>
      <c r="W41" s="441"/>
      <c r="X41" s="450"/>
      <c r="Y41" s="450"/>
      <c r="Z41" s="450"/>
      <c r="AA41" s="450"/>
      <c r="AB41" s="451"/>
      <c r="AC41" s="443"/>
      <c r="AD41" s="443"/>
      <c r="AE41" s="443"/>
      <c r="AF41" s="443"/>
      <c r="AG41" s="443"/>
      <c r="AH41" s="443"/>
      <c r="AI41" s="443"/>
      <c r="AJ41" s="443"/>
      <c r="AK41" s="443"/>
      <c r="AL41" s="443"/>
      <c r="AM41" s="443"/>
      <c r="AN41" s="443"/>
      <c r="AO41" s="443"/>
      <c r="AP41" s="443"/>
      <c r="AQ41" s="443"/>
      <c r="AR41" s="443"/>
      <c r="AS41" s="443"/>
      <c r="AT41" s="388"/>
      <c r="AU41" s="388"/>
      <c r="AV41" s="388"/>
      <c r="AW41" s="388"/>
      <c r="AX41" s="388"/>
      <c r="AY41" s="388"/>
      <c r="AZ41" s="388"/>
      <c r="BA41" s="388"/>
      <c r="BB41" s="388"/>
      <c r="BC41" s="388"/>
      <c r="BD41" s="388"/>
      <c r="BE41" s="388"/>
      <c r="BF41" s="388"/>
      <c r="BG41" s="388"/>
      <c r="BH41" s="388"/>
      <c r="BI41" s="388"/>
      <c r="BJ41" s="388"/>
      <c r="BK41" s="388"/>
      <c r="BL41" s="388"/>
      <c r="BM41" s="388"/>
      <c r="BN41" s="388"/>
      <c r="BO41" s="388"/>
      <c r="BP41" s="388"/>
      <c r="BQ41" s="388"/>
      <c r="BR41" s="388"/>
      <c r="BS41" s="388"/>
      <c r="BU41" s="444"/>
      <c r="BV41" s="444"/>
      <c r="BW41" s="444"/>
      <c r="BX41" s="444"/>
      <c r="BY41" s="444"/>
      <c r="BZ41" s="444"/>
      <c r="CA41" s="444"/>
      <c r="CB41" s="444"/>
      <c r="CC41" s="445"/>
      <c r="CD41" s="445"/>
      <c r="CE41" s="445"/>
      <c r="CF41" s="445"/>
      <c r="CG41" s="445"/>
      <c r="CH41" s="445"/>
      <c r="CI41" s="445"/>
      <c r="CJ41" s="445"/>
      <c r="CK41" s="445"/>
      <c r="CL41" s="446"/>
      <c r="CM41" s="445"/>
      <c r="CN41" s="445"/>
      <c r="CO41" s="445"/>
      <c r="CP41" s="445"/>
      <c r="CQ41" s="445"/>
      <c r="CR41" s="445"/>
      <c r="CS41" s="445"/>
      <c r="CT41" s="445" t="s">
        <v>300</v>
      </c>
      <c r="CU41" s="445"/>
      <c r="CV41" s="437"/>
      <c r="CW41" s="437"/>
      <c r="CX41" s="370"/>
    </row>
    <row r="42" spans="1:114" ht="15.6">
      <c r="A42" s="358"/>
      <c r="D42" s="452"/>
      <c r="E42" s="452"/>
      <c r="F42" s="452"/>
      <c r="G42" s="452"/>
      <c r="H42" s="452"/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452"/>
      <c r="U42" s="452"/>
      <c r="V42" s="452"/>
      <c r="W42" s="452"/>
      <c r="X42" s="452"/>
      <c r="Y42" s="452"/>
      <c r="Z42" s="452"/>
      <c r="AA42" s="452"/>
      <c r="AB42" s="452"/>
      <c r="AC42" s="452"/>
      <c r="AD42" s="452"/>
      <c r="AE42" s="452"/>
      <c r="AF42" s="452"/>
      <c r="AG42" s="452"/>
      <c r="AH42" s="452"/>
      <c r="AI42" s="452"/>
      <c r="AJ42" s="452"/>
      <c r="AK42" s="452"/>
      <c r="AL42" s="452"/>
      <c r="AM42" s="452"/>
      <c r="AN42" s="452"/>
      <c r="AO42" s="452"/>
      <c r="AP42" s="452"/>
      <c r="AQ42" s="452"/>
      <c r="AR42" s="452"/>
      <c r="AS42" s="452"/>
      <c r="CX42" s="361"/>
    </row>
    <row r="43" spans="1:114">
      <c r="A43" s="358"/>
      <c r="CX43" s="361"/>
    </row>
    <row r="44" spans="1:114">
      <c r="A44" s="358"/>
      <c r="CX44" s="361"/>
    </row>
    <row r="45" spans="1:114" ht="6.75" customHeight="1" thickBot="1">
      <c r="A45" s="453"/>
      <c r="B45" s="454"/>
      <c r="C45" s="454"/>
      <c r="D45" s="454"/>
      <c r="E45" s="454"/>
      <c r="F45" s="454"/>
      <c r="G45" s="454"/>
      <c r="H45" s="454"/>
      <c r="I45" s="454"/>
      <c r="J45" s="454"/>
      <c r="K45" s="454"/>
      <c r="L45" s="454"/>
      <c r="M45" s="454"/>
      <c r="N45" s="454"/>
      <c r="O45" s="454"/>
      <c r="P45" s="454"/>
      <c r="Q45" s="454"/>
      <c r="R45" s="454"/>
      <c r="S45" s="454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5"/>
    </row>
  </sheetData>
  <mergeCells count="30">
    <mergeCell ref="B11:CW11"/>
    <mergeCell ref="B3:CI3"/>
    <mergeCell ref="CM3:CW3"/>
    <mergeCell ref="B4:CK4"/>
    <mergeCell ref="I8:AC8"/>
    <mergeCell ref="I9:AC9"/>
    <mergeCell ref="U31:AA31"/>
    <mergeCell ref="AS31:AX31"/>
    <mergeCell ref="CJ31:CW31"/>
    <mergeCell ref="B12:CW12"/>
    <mergeCell ref="B13:CW13"/>
    <mergeCell ref="B14:CW14"/>
    <mergeCell ref="AS15:BI15"/>
    <mergeCell ref="B18:CW18"/>
    <mergeCell ref="B19:CW19"/>
    <mergeCell ref="X24:CG24"/>
    <mergeCell ref="I25:CP25"/>
    <mergeCell ref="Z26:CK26"/>
    <mergeCell ref="AA27:CH27"/>
    <mergeCell ref="X28:CP28"/>
    <mergeCell ref="F39:P39"/>
    <mergeCell ref="S39:AC39"/>
    <mergeCell ref="BU39:CE39"/>
    <mergeCell ref="CH39:CR39"/>
    <mergeCell ref="B32:CW32"/>
    <mergeCell ref="B34:AG34"/>
    <mergeCell ref="BE34:BI34"/>
    <mergeCell ref="BL34:BP34"/>
    <mergeCell ref="BZ34:CD34"/>
    <mergeCell ref="C35:CX35"/>
  </mergeCells>
  <pageMargins left="0.2" right="0.45" top="0.74803149606299213" bottom="0.74803149606299213" header="0.31496062992125984" footer="0.2"/>
  <pageSetup paperSize="9" scale="72" orientation="landscape" verticalDpi="0" r:id="rId1"/>
  <colBreaks count="1" manualBreakCount="1">
    <brk id="10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</sheetPr>
  <dimension ref="A1:K46"/>
  <sheetViews>
    <sheetView topLeftCell="A4" zoomScaleNormal="100" workbookViewId="0">
      <selection activeCell="I9" sqref="I9"/>
    </sheetView>
  </sheetViews>
  <sheetFormatPr baseColWidth="10" defaultColWidth="9.109375" defaultRowHeight="14.4"/>
  <cols>
    <col min="1" max="1" width="0.44140625" customWidth="1"/>
    <col min="2" max="2" width="19.109375" customWidth="1"/>
    <col min="3" max="3" width="19" customWidth="1"/>
    <col min="4" max="4" width="22.88671875" customWidth="1"/>
    <col min="5" max="5" width="16.5546875" customWidth="1"/>
    <col min="6" max="6" width="13" customWidth="1"/>
    <col min="7" max="7" width="18.33203125" customWidth="1"/>
    <col min="8" max="8" width="18.6640625" customWidth="1"/>
    <col min="9" max="9" width="20.5546875" customWidth="1"/>
    <col min="10" max="10" width="5.44140625" customWidth="1"/>
    <col min="11" max="11" width="13.5546875" bestFit="1" customWidth="1"/>
    <col min="12" max="12" width="10.44140625" bestFit="1" customWidth="1"/>
  </cols>
  <sheetData>
    <row r="1" spans="1:11" ht="7.5" customHeight="1">
      <c r="A1" s="456"/>
      <c r="B1" s="457"/>
      <c r="C1" s="457"/>
      <c r="D1" s="457"/>
      <c r="E1" s="457"/>
      <c r="F1" s="457"/>
      <c r="G1" s="457"/>
      <c r="H1" s="457"/>
      <c r="I1" s="457"/>
      <c r="J1" s="10"/>
    </row>
    <row r="2" spans="1:11">
      <c r="A2" s="272"/>
      <c r="H2" s="740" t="s">
        <v>301</v>
      </c>
      <c r="I2" s="741"/>
      <c r="J2" s="39"/>
    </row>
    <row r="3" spans="1:11" ht="2.25" customHeight="1">
      <c r="A3" s="272"/>
      <c r="J3" s="39"/>
    </row>
    <row r="4" spans="1:11" s="465" customFormat="1" ht="39.6">
      <c r="A4" s="458"/>
      <c r="B4" s="459" t="s">
        <v>302</v>
      </c>
      <c r="C4" s="460" t="s">
        <v>303</v>
      </c>
      <c r="D4" s="461" t="s">
        <v>304</v>
      </c>
      <c r="E4" s="462" t="s">
        <v>305</v>
      </c>
      <c r="F4" s="462" t="s">
        <v>306</v>
      </c>
      <c r="G4" s="462" t="s">
        <v>307</v>
      </c>
      <c r="H4" s="462" t="s">
        <v>308</v>
      </c>
      <c r="I4" s="463" t="s">
        <v>309</v>
      </c>
      <c r="J4" s="464"/>
    </row>
    <row r="5" spans="1:11" s="465" customFormat="1" ht="66">
      <c r="A5" s="458"/>
      <c r="B5" s="466" t="s">
        <v>310</v>
      </c>
      <c r="C5" s="467" t="s">
        <v>311</v>
      </c>
      <c r="D5" s="468" t="s">
        <v>312</v>
      </c>
      <c r="E5" s="469" t="s">
        <v>313</v>
      </c>
      <c r="F5" s="469" t="s">
        <v>314</v>
      </c>
      <c r="G5" s="470" t="s">
        <v>315</v>
      </c>
      <c r="H5" s="470" t="s">
        <v>316</v>
      </c>
      <c r="I5" s="471" t="s">
        <v>317</v>
      </c>
      <c r="J5" s="464"/>
    </row>
    <row r="6" spans="1:11" ht="33.75" customHeight="1">
      <c r="A6" s="272"/>
      <c r="B6" s="472"/>
      <c r="C6" s="473"/>
      <c r="D6" s="474"/>
      <c r="E6" s="474"/>
      <c r="F6" s="475"/>
      <c r="G6" s="476"/>
      <c r="H6" s="531"/>
      <c r="I6" s="532"/>
      <c r="J6" s="39"/>
    </row>
    <row r="7" spans="1:11" ht="56.25" customHeight="1">
      <c r="A7" s="272"/>
      <c r="B7" s="494"/>
      <c r="C7" s="495"/>
      <c r="D7" s="494"/>
      <c r="E7" s="495"/>
      <c r="F7" s="492"/>
      <c r="G7" s="491"/>
      <c r="H7" s="493"/>
      <c r="I7" s="493"/>
      <c r="J7" s="39"/>
    </row>
    <row r="8" spans="1:11" ht="56.25" customHeight="1">
      <c r="A8" s="272"/>
      <c r="B8" s="494"/>
      <c r="C8" s="495"/>
      <c r="D8" s="494"/>
      <c r="E8" s="495"/>
      <c r="F8" s="492"/>
      <c r="G8" s="491"/>
      <c r="H8" s="493"/>
      <c r="I8" s="493"/>
      <c r="J8" s="39"/>
    </row>
    <row r="9" spans="1:11" ht="32.25" customHeight="1">
      <c r="A9" s="272"/>
      <c r="B9" s="472"/>
      <c r="C9" s="472"/>
      <c r="D9" s="474"/>
      <c r="E9" s="474"/>
      <c r="F9" s="475"/>
      <c r="G9" s="476"/>
      <c r="H9" s="477"/>
      <c r="I9" s="477"/>
      <c r="J9" s="39"/>
    </row>
    <row r="10" spans="1:11" ht="30" customHeight="1">
      <c r="A10" s="272"/>
      <c r="B10" s="472"/>
      <c r="C10" s="472"/>
      <c r="D10" s="474"/>
      <c r="E10" s="474"/>
      <c r="F10" s="475"/>
      <c r="G10" s="476"/>
      <c r="H10" s="477"/>
      <c r="I10" s="477"/>
      <c r="J10" s="39"/>
    </row>
    <row r="11" spans="1:11" ht="24.75" customHeight="1">
      <c r="A11" s="272"/>
      <c r="B11" s="472"/>
      <c r="C11" s="472"/>
      <c r="D11" s="474"/>
      <c r="E11" s="474"/>
      <c r="F11" s="475"/>
      <c r="G11" s="476"/>
      <c r="H11" s="477"/>
      <c r="I11" s="477"/>
      <c r="J11" s="39"/>
      <c r="K11" s="60"/>
    </row>
    <row r="12" spans="1:11" ht="15" customHeight="1">
      <c r="A12" s="272"/>
      <c r="B12" s="473"/>
      <c r="C12" s="473"/>
      <c r="D12" s="478"/>
      <c r="E12" s="478"/>
      <c r="F12" s="475"/>
      <c r="G12" s="476"/>
      <c r="H12" s="477"/>
      <c r="I12" s="477"/>
      <c r="J12" s="39"/>
    </row>
    <row r="13" spans="1:11" ht="15" customHeight="1">
      <c r="A13" s="272"/>
      <c r="B13" s="473"/>
      <c r="C13" s="473"/>
      <c r="D13" s="478"/>
      <c r="E13" s="478"/>
      <c r="F13" s="475"/>
      <c r="G13" s="479"/>
      <c r="H13" s="480">
        <f>SUM(H6:H12)</f>
        <v>0</v>
      </c>
      <c r="I13" s="480">
        <f>+I6+I7+I8</f>
        <v>0</v>
      </c>
      <c r="J13" s="39"/>
      <c r="K13" s="60"/>
    </row>
    <row r="14" spans="1:11">
      <c r="A14" s="272"/>
      <c r="J14" s="39"/>
    </row>
    <row r="15" spans="1:11">
      <c r="A15" s="272"/>
      <c r="B15" s="742" t="s">
        <v>318</v>
      </c>
      <c r="C15" s="742"/>
      <c r="D15" s="742"/>
      <c r="E15" s="742"/>
      <c r="F15" s="742"/>
      <c r="G15" s="742"/>
      <c r="H15" s="742"/>
      <c r="I15" s="742"/>
      <c r="J15" s="39"/>
    </row>
    <row r="16" spans="1:11">
      <c r="A16" s="272"/>
      <c r="B16" s="739" t="s">
        <v>319</v>
      </c>
      <c r="C16" s="739"/>
      <c r="D16" s="739"/>
      <c r="E16" s="739"/>
      <c r="F16" s="739"/>
      <c r="G16" s="739"/>
      <c r="H16" s="739"/>
      <c r="I16" s="739"/>
      <c r="J16" s="39"/>
    </row>
    <row r="17" spans="1:10">
      <c r="A17" s="272"/>
      <c r="B17" s="482" t="s">
        <v>320</v>
      </c>
      <c r="I17" s="481" t="s">
        <v>321</v>
      </c>
      <c r="J17" s="39"/>
    </row>
    <row r="18" spans="1:10" ht="2.25" customHeight="1" thickBot="1">
      <c r="A18" s="50"/>
      <c r="B18" s="52"/>
      <c r="C18" s="52"/>
      <c r="D18" s="52"/>
      <c r="E18" s="52"/>
      <c r="F18" s="52"/>
      <c r="G18" s="52"/>
      <c r="H18" s="52"/>
      <c r="I18" s="52"/>
      <c r="J18" s="53"/>
    </row>
    <row r="19" spans="1:10">
      <c r="A19" s="456"/>
      <c r="B19" s="457"/>
      <c r="C19" s="457"/>
      <c r="D19" s="457"/>
      <c r="E19" s="457"/>
      <c r="F19" s="457"/>
      <c r="G19" s="457"/>
      <c r="H19" s="457"/>
      <c r="I19" s="457"/>
      <c r="J19" s="10"/>
    </row>
    <row r="20" spans="1:10">
      <c r="A20" s="272"/>
      <c r="H20" s="740" t="s">
        <v>301</v>
      </c>
      <c r="I20" s="741"/>
      <c r="J20" s="39"/>
    </row>
    <row r="21" spans="1:10">
      <c r="A21" s="272"/>
      <c r="J21" s="39"/>
    </row>
    <row r="22" spans="1:10" ht="39.6">
      <c r="A22" s="458"/>
      <c r="B22" s="459" t="s">
        <v>302</v>
      </c>
      <c r="C22" s="460" t="s">
        <v>303</v>
      </c>
      <c r="D22" s="461" t="s">
        <v>304</v>
      </c>
      <c r="E22" s="462" t="s">
        <v>305</v>
      </c>
      <c r="F22" s="462" t="s">
        <v>306</v>
      </c>
      <c r="G22" s="462" t="s">
        <v>307</v>
      </c>
      <c r="H22" s="462" t="s">
        <v>308</v>
      </c>
      <c r="I22" s="463" t="s">
        <v>309</v>
      </c>
      <c r="J22" s="464"/>
    </row>
    <row r="23" spans="1:10" ht="66">
      <c r="A23" s="458"/>
      <c r="B23" s="466" t="s">
        <v>310</v>
      </c>
      <c r="C23" s="467" t="s">
        <v>311</v>
      </c>
      <c r="D23" s="468" t="s">
        <v>312</v>
      </c>
      <c r="E23" s="469" t="s">
        <v>313</v>
      </c>
      <c r="F23" s="469" t="s">
        <v>314</v>
      </c>
      <c r="G23" s="470" t="s">
        <v>315</v>
      </c>
      <c r="H23" s="470" t="s">
        <v>316</v>
      </c>
      <c r="I23" s="471" t="s">
        <v>317</v>
      </c>
      <c r="J23" s="464"/>
    </row>
    <row r="24" spans="1:10">
      <c r="A24" s="272"/>
      <c r="B24" s="473"/>
      <c r="C24" s="473"/>
      <c r="D24" s="478"/>
      <c r="E24" s="478"/>
      <c r="F24" s="475"/>
      <c r="G24" s="483" t="s">
        <v>322</v>
      </c>
      <c r="H24" s="484">
        <v>0</v>
      </c>
      <c r="I24" s="484">
        <v>0</v>
      </c>
      <c r="J24" s="39"/>
    </row>
    <row r="25" spans="1:10" ht="32.25" customHeight="1">
      <c r="A25" s="272"/>
      <c r="B25" s="472"/>
      <c r="C25" s="472"/>
      <c r="D25" s="474"/>
      <c r="E25" s="474"/>
      <c r="F25" s="475"/>
      <c r="G25" s="476"/>
      <c r="H25" s="477"/>
      <c r="I25" s="477"/>
      <c r="J25" s="39"/>
    </row>
    <row r="26" spans="1:10" ht="19.8">
      <c r="A26" s="272"/>
      <c r="B26" s="472"/>
      <c r="C26" s="472"/>
      <c r="D26" s="474"/>
      <c r="E26" s="474"/>
      <c r="F26" s="475"/>
      <c r="G26" s="476"/>
      <c r="H26" s="477"/>
      <c r="I26" s="477"/>
      <c r="J26" s="39"/>
    </row>
    <row r="27" spans="1:10" ht="19.8">
      <c r="A27" s="272"/>
      <c r="B27" s="472"/>
      <c r="C27" s="472"/>
      <c r="D27" s="474"/>
      <c r="E27" s="474"/>
      <c r="F27" s="475"/>
      <c r="G27" s="476"/>
      <c r="H27" s="477"/>
      <c r="I27" s="477"/>
      <c r="J27" s="39"/>
    </row>
    <row r="28" spans="1:10" ht="19.8">
      <c r="A28" s="272"/>
      <c r="B28" s="473"/>
      <c r="C28" s="473"/>
      <c r="D28" s="478"/>
      <c r="E28" s="478"/>
      <c r="F28" s="475"/>
      <c r="G28" s="476"/>
      <c r="H28" s="477"/>
      <c r="I28" s="477"/>
      <c r="J28" s="39"/>
    </row>
    <row r="29" spans="1:10" ht="19.8">
      <c r="A29" s="272"/>
      <c r="B29" s="473"/>
      <c r="C29" s="473"/>
      <c r="D29" s="478"/>
      <c r="E29" s="478"/>
      <c r="F29" s="475"/>
      <c r="G29" s="476"/>
      <c r="H29" s="477"/>
      <c r="I29" s="477"/>
      <c r="J29" s="39"/>
    </row>
    <row r="30" spans="1:10" ht="19.8">
      <c r="A30" s="272"/>
      <c r="B30" s="473"/>
      <c r="C30" s="473"/>
      <c r="D30" s="478"/>
      <c r="E30" s="478"/>
      <c r="F30" s="475"/>
      <c r="G30" s="476"/>
      <c r="H30" s="477"/>
      <c r="I30" s="477"/>
      <c r="J30" s="39"/>
    </row>
    <row r="31" spans="1:10" ht="19.8">
      <c r="A31" s="272"/>
      <c r="B31" s="473"/>
      <c r="C31" s="473"/>
      <c r="D31" s="478"/>
      <c r="E31" s="478"/>
      <c r="F31" s="475"/>
      <c r="G31" s="476"/>
      <c r="H31" s="477">
        <f t="shared" ref="H31:H40" si="0">I31/0.19</f>
        <v>0</v>
      </c>
      <c r="I31" s="477"/>
      <c r="J31" s="39"/>
    </row>
    <row r="32" spans="1:10" ht="19.8">
      <c r="A32" s="272"/>
      <c r="B32" s="473"/>
      <c r="C32" s="473"/>
      <c r="D32" s="478"/>
      <c r="E32" s="478"/>
      <c r="F32" s="475"/>
      <c r="G32" s="476"/>
      <c r="H32" s="477">
        <f t="shared" si="0"/>
        <v>0</v>
      </c>
      <c r="I32" s="477"/>
      <c r="J32" s="39"/>
    </row>
    <row r="33" spans="1:10" ht="19.8">
      <c r="A33" s="272"/>
      <c r="B33" s="473"/>
      <c r="C33" s="473"/>
      <c r="D33" s="478"/>
      <c r="E33" s="478"/>
      <c r="F33" s="475"/>
      <c r="G33" s="476"/>
      <c r="H33" s="477">
        <f t="shared" si="0"/>
        <v>0</v>
      </c>
      <c r="I33" s="477"/>
      <c r="J33" s="39"/>
    </row>
    <row r="34" spans="1:10" ht="19.8">
      <c r="A34" s="272"/>
      <c r="B34" s="473"/>
      <c r="C34" s="473"/>
      <c r="D34" s="478"/>
      <c r="E34" s="478"/>
      <c r="F34" s="475"/>
      <c r="G34" s="476"/>
      <c r="H34" s="477">
        <f t="shared" si="0"/>
        <v>0</v>
      </c>
      <c r="I34" s="477"/>
      <c r="J34" s="39"/>
    </row>
    <row r="35" spans="1:10" ht="19.8">
      <c r="A35" s="272"/>
      <c r="B35" s="473"/>
      <c r="C35" s="473"/>
      <c r="D35" s="478"/>
      <c r="E35" s="478"/>
      <c r="F35" s="475"/>
      <c r="G35" s="476"/>
      <c r="H35" s="477">
        <f t="shared" si="0"/>
        <v>0</v>
      </c>
      <c r="I35" s="477"/>
      <c r="J35" s="39"/>
    </row>
    <row r="36" spans="1:10" ht="19.8">
      <c r="A36" s="272"/>
      <c r="B36" s="473"/>
      <c r="C36" s="473"/>
      <c r="D36" s="478"/>
      <c r="E36" s="478"/>
      <c r="F36" s="475"/>
      <c r="G36" s="476"/>
      <c r="H36" s="477">
        <f t="shared" si="0"/>
        <v>0</v>
      </c>
      <c r="I36" s="477"/>
      <c r="J36" s="39"/>
    </row>
    <row r="37" spans="1:10">
      <c r="A37" s="272"/>
      <c r="B37" s="473"/>
      <c r="C37" s="473"/>
      <c r="D37" s="478"/>
      <c r="E37" s="478"/>
      <c r="F37" s="475"/>
      <c r="G37" s="476"/>
      <c r="H37" s="485">
        <f t="shared" si="0"/>
        <v>0</v>
      </c>
      <c r="I37" s="485"/>
      <c r="J37" s="39"/>
    </row>
    <row r="38" spans="1:10">
      <c r="A38" s="272"/>
      <c r="B38" s="473"/>
      <c r="C38" s="473"/>
      <c r="D38" s="478"/>
      <c r="E38" s="478"/>
      <c r="F38" s="475"/>
      <c r="G38" s="476"/>
      <c r="H38" s="485">
        <f t="shared" si="0"/>
        <v>0</v>
      </c>
      <c r="I38" s="485"/>
      <c r="J38" s="39"/>
    </row>
    <row r="39" spans="1:10">
      <c r="A39" s="272"/>
      <c r="B39" s="473"/>
      <c r="C39" s="473"/>
      <c r="D39" s="478"/>
      <c r="E39" s="478"/>
      <c r="F39" s="475"/>
      <c r="G39" s="476"/>
      <c r="H39" s="485">
        <f t="shared" si="0"/>
        <v>0</v>
      </c>
      <c r="I39" s="485"/>
      <c r="J39" s="39"/>
    </row>
    <row r="40" spans="1:10">
      <c r="A40" s="272"/>
      <c r="B40" s="473"/>
      <c r="C40" s="473"/>
      <c r="D40" s="478"/>
      <c r="E40" s="478"/>
      <c r="F40" s="475"/>
      <c r="G40" s="476"/>
      <c r="H40" s="485">
        <f t="shared" si="0"/>
        <v>0</v>
      </c>
      <c r="I40" s="485"/>
      <c r="J40" s="39"/>
    </row>
    <row r="41" spans="1:10" ht="15">
      <c r="A41" s="272"/>
      <c r="B41" s="473"/>
      <c r="C41" s="473"/>
      <c r="D41" s="478"/>
      <c r="E41" s="478"/>
      <c r="F41" s="475"/>
      <c r="G41" s="479" t="s">
        <v>34</v>
      </c>
      <c r="H41" s="486">
        <f>SUM(H24:H40)</f>
        <v>0</v>
      </c>
      <c r="I41" s="486">
        <f>SUM(I24:I40)</f>
        <v>0</v>
      </c>
      <c r="J41" s="39"/>
    </row>
    <row r="42" spans="1:10">
      <c r="A42" s="272"/>
      <c r="J42" s="39"/>
    </row>
    <row r="43" spans="1:10">
      <c r="A43" s="272"/>
      <c r="B43" s="742" t="s">
        <v>318</v>
      </c>
      <c r="C43" s="742"/>
      <c r="D43" s="742"/>
      <c r="E43" s="742"/>
      <c r="F43" s="742"/>
      <c r="G43" s="742"/>
      <c r="H43" s="742"/>
      <c r="I43" s="742"/>
      <c r="J43" s="39"/>
    </row>
    <row r="44" spans="1:10">
      <c r="A44" s="272"/>
      <c r="B44" s="739" t="s">
        <v>319</v>
      </c>
      <c r="C44" s="739"/>
      <c r="D44" s="739"/>
      <c r="E44" s="739"/>
      <c r="F44" s="739"/>
      <c r="G44" s="739"/>
      <c r="H44" s="739"/>
      <c r="I44" s="739"/>
      <c r="J44" s="39"/>
    </row>
    <row r="45" spans="1:10">
      <c r="A45" s="272"/>
      <c r="B45" s="482" t="s">
        <v>320</v>
      </c>
      <c r="I45" s="481" t="s">
        <v>321</v>
      </c>
      <c r="J45" s="39"/>
    </row>
    <row r="46" spans="1:10" ht="15" thickBot="1">
      <c r="A46" s="50"/>
      <c r="B46" s="52"/>
      <c r="C46" s="52"/>
      <c r="D46" s="52"/>
      <c r="E46" s="52"/>
      <c r="F46" s="52"/>
      <c r="G46" s="52"/>
      <c r="H46" s="52"/>
      <c r="I46" s="52"/>
      <c r="J46" s="53"/>
    </row>
  </sheetData>
  <mergeCells count="6">
    <mergeCell ref="B44:I44"/>
    <mergeCell ref="H2:I2"/>
    <mergeCell ref="B15:I15"/>
    <mergeCell ref="B16:I16"/>
    <mergeCell ref="H20:I20"/>
    <mergeCell ref="B43:I43"/>
  </mergeCells>
  <pageMargins left="0.70866141732283472" right="0.70866141732283472" top="0.2" bottom="0.34" header="0.31496062992125984" footer="0.31496062992125984"/>
  <pageSetup paperSize="9" scale="63" orientation="landscape" r:id="rId1"/>
  <rowBreaks count="1" manualBreakCount="1">
    <brk id="1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M31"/>
  <sheetViews>
    <sheetView topLeftCell="A2" workbookViewId="0">
      <selection activeCell="D6" sqref="D6"/>
    </sheetView>
  </sheetViews>
  <sheetFormatPr baseColWidth="10" defaultRowHeight="14.4"/>
  <cols>
    <col min="1" max="1" width="11.5546875" style="560"/>
    <col min="2" max="2" width="11.6640625" bestFit="1" customWidth="1"/>
    <col min="3" max="3" width="19.33203125" customWidth="1"/>
    <col min="4" max="4" width="15.88671875" customWidth="1"/>
    <col min="5" max="5" width="15.33203125" customWidth="1"/>
    <col min="6" max="6" width="13" customWidth="1"/>
    <col min="11" max="13" width="12.6640625" bestFit="1" customWidth="1"/>
  </cols>
  <sheetData>
    <row r="1" spans="1:13" hidden="1"/>
    <row r="2" spans="1:13" ht="6" customHeight="1">
      <c r="B2" s="522"/>
      <c r="C2" s="522"/>
      <c r="D2" s="522"/>
    </row>
    <row r="3" spans="1:13" ht="18">
      <c r="B3" s="528" t="s">
        <v>336</v>
      </c>
      <c r="C3" s="528" t="s">
        <v>337</v>
      </c>
      <c r="D3" s="528"/>
      <c r="E3" s="745" t="s">
        <v>329</v>
      </c>
      <c r="F3" s="745"/>
      <c r="G3" s="745"/>
    </row>
    <row r="4" spans="1:13" ht="3.6" customHeight="1" thickBot="1">
      <c r="B4" s="523"/>
      <c r="C4" s="523"/>
      <c r="D4" s="523"/>
      <c r="E4" s="490"/>
      <c r="F4" s="490"/>
      <c r="G4" s="490"/>
    </row>
    <row r="5" spans="1:13" ht="15.6" thickTop="1" thickBot="1">
      <c r="B5" s="534" t="s">
        <v>323</v>
      </c>
      <c r="C5" s="534" t="s">
        <v>324</v>
      </c>
      <c r="D5" s="534" t="s">
        <v>325</v>
      </c>
      <c r="E5" s="534" t="s">
        <v>326</v>
      </c>
      <c r="F5" s="534"/>
      <c r="G5" s="535"/>
    </row>
    <row r="6" spans="1:13" ht="15.6">
      <c r="A6" s="746" t="s">
        <v>338</v>
      </c>
      <c r="B6" s="536">
        <v>46118</v>
      </c>
      <c r="C6" s="537"/>
      <c r="D6" s="538">
        <f t="shared" ref="D6:D8" si="0">+C6/1.19</f>
        <v>0</v>
      </c>
      <c r="E6" s="538"/>
      <c r="F6" s="539"/>
      <c r="G6" s="540"/>
      <c r="K6" s="315"/>
      <c r="L6" s="315"/>
      <c r="M6" s="315"/>
    </row>
    <row r="7" spans="1:13" ht="15.6">
      <c r="A7" s="747"/>
      <c r="B7" s="541">
        <v>46118</v>
      </c>
      <c r="C7" s="525"/>
      <c r="D7" s="512">
        <f t="shared" si="0"/>
        <v>0</v>
      </c>
      <c r="E7" s="512"/>
      <c r="F7" s="516"/>
      <c r="G7" s="542"/>
    </row>
    <row r="8" spans="1:13" ht="16.2" thickBot="1">
      <c r="A8" s="748"/>
      <c r="B8" s="543">
        <v>46124</v>
      </c>
      <c r="C8" s="544"/>
      <c r="D8" s="545">
        <f t="shared" si="0"/>
        <v>0</v>
      </c>
      <c r="E8" s="545"/>
      <c r="F8" s="546"/>
      <c r="G8" s="547"/>
      <c r="M8" s="529"/>
    </row>
    <row r="9" spans="1:13" ht="16.2" thickBot="1">
      <c r="A9" s="561"/>
      <c r="B9" s="556"/>
      <c r="C9" s="527"/>
      <c r="D9" s="558">
        <f>SUM(D6:D8)</f>
        <v>0</v>
      </c>
      <c r="E9" s="533"/>
      <c r="G9" s="557"/>
      <c r="M9" s="529"/>
    </row>
    <row r="10" spans="1:13" ht="3" customHeight="1" thickBot="1">
      <c r="G10" s="548"/>
      <c r="M10" s="529"/>
    </row>
    <row r="11" spans="1:13" ht="15.6">
      <c r="A11" s="749" t="s">
        <v>339</v>
      </c>
      <c r="B11" s="549"/>
      <c r="C11" s="550"/>
      <c r="D11" s="551"/>
      <c r="E11" s="551"/>
      <c r="F11" s="457"/>
      <c r="G11" s="540"/>
      <c r="M11" s="529"/>
    </row>
    <row r="12" spans="1:13" ht="15.6">
      <c r="A12" s="750"/>
      <c r="B12" s="526">
        <v>46140</v>
      </c>
      <c r="C12" s="527"/>
      <c r="D12" s="512">
        <f>+C12/1.19</f>
        <v>0</v>
      </c>
      <c r="E12" s="512">
        <f t="shared" ref="E12" si="1">+D12*19%</f>
        <v>0</v>
      </c>
      <c r="G12" s="542"/>
      <c r="M12" s="529"/>
    </row>
    <row r="13" spans="1:13" ht="15.6">
      <c r="A13" s="750"/>
      <c r="B13" s="526"/>
      <c r="C13" s="527"/>
      <c r="D13" s="533"/>
      <c r="E13" s="533"/>
      <c r="G13" s="555"/>
      <c r="M13" s="529"/>
    </row>
    <row r="14" spans="1:13" ht="15" thickBot="1">
      <c r="A14" s="751"/>
      <c r="B14" s="546"/>
      <c r="C14" s="552"/>
      <c r="D14" s="52"/>
      <c r="E14" s="52"/>
      <c r="F14" s="52"/>
      <c r="G14" s="547"/>
      <c r="H14" s="190"/>
      <c r="I14" s="60"/>
    </row>
    <row r="15" spans="1:13" ht="20.399999999999999" customHeight="1" thickBot="1">
      <c r="A15" s="562"/>
      <c r="C15" s="553"/>
      <c r="D15" s="559">
        <f>SUM(D12:D14)</f>
        <v>0</v>
      </c>
      <c r="G15" s="554"/>
      <c r="H15" s="190"/>
      <c r="I15" s="60"/>
    </row>
    <row r="16" spans="1:13" ht="15" thickBot="1">
      <c r="A16" s="562"/>
      <c r="C16" s="553"/>
      <c r="G16" s="554"/>
      <c r="H16" s="190"/>
      <c r="I16" s="60"/>
    </row>
    <row r="17" spans="1:7" s="566" customFormat="1" ht="24.6" customHeight="1" thickBot="1">
      <c r="A17" s="561"/>
      <c r="B17" s="563"/>
      <c r="C17" s="564">
        <f>SUM(C6:C14)</f>
        <v>0</v>
      </c>
      <c r="D17" s="564">
        <f>+D15+D9</f>
        <v>0</v>
      </c>
      <c r="E17" s="564">
        <f>SUM(E6:E14)</f>
        <v>0</v>
      </c>
      <c r="F17" s="565"/>
    </row>
    <row r="18" spans="1:7" ht="15" customHeight="1"/>
    <row r="19" spans="1:7">
      <c r="B19" s="522"/>
      <c r="C19" s="522"/>
      <c r="D19" s="522"/>
    </row>
    <row r="20" spans="1:7" ht="18">
      <c r="B20" s="528" t="s">
        <v>334</v>
      </c>
      <c r="C20" s="528"/>
      <c r="D20" s="745" t="s">
        <v>335</v>
      </c>
      <c r="E20" s="745"/>
      <c r="F20" s="745"/>
    </row>
    <row r="21" spans="1:7" ht="4.8" customHeight="1" thickBot="1">
      <c r="B21" s="523"/>
      <c r="C21" s="523"/>
      <c r="D21" s="523"/>
      <c r="E21" s="490"/>
      <c r="F21" s="490"/>
      <c r="G21" s="490"/>
    </row>
    <row r="22" spans="1:7" ht="15.6" thickTop="1" thickBot="1">
      <c r="B22" s="509" t="s">
        <v>323</v>
      </c>
      <c r="C22" s="509" t="s">
        <v>324</v>
      </c>
      <c r="D22" s="509" t="s">
        <v>325</v>
      </c>
      <c r="E22" s="509" t="s">
        <v>326</v>
      </c>
      <c r="F22" s="509"/>
      <c r="G22" s="510"/>
    </row>
    <row r="23" spans="1:7" ht="15" thickTop="1">
      <c r="B23" s="511"/>
      <c r="C23" s="512"/>
      <c r="D23" s="512"/>
      <c r="E23" s="512"/>
      <c r="F23" s="513"/>
      <c r="G23" s="743"/>
    </row>
    <row r="24" spans="1:7">
      <c r="B24" s="514"/>
      <c r="C24" s="515">
        <v>173847.1</v>
      </c>
      <c r="D24" s="515">
        <f>+C24/1.19</f>
        <v>146090</v>
      </c>
      <c r="E24" s="515">
        <f>+D24*19%</f>
        <v>27757.1</v>
      </c>
      <c r="F24" s="516"/>
      <c r="G24" s="744"/>
    </row>
    <row r="25" spans="1:7">
      <c r="B25" s="517"/>
      <c r="C25" s="518"/>
      <c r="D25" s="515"/>
      <c r="E25" s="515"/>
      <c r="F25" s="516"/>
      <c r="G25" s="744"/>
    </row>
    <row r="26" spans="1:7">
      <c r="B26" s="517"/>
      <c r="C26" s="518"/>
      <c r="D26" s="518"/>
      <c r="E26" s="518"/>
      <c r="F26" s="524"/>
      <c r="G26" s="744"/>
    </row>
    <row r="27" spans="1:7" ht="15" thickBot="1">
      <c r="B27" s="519"/>
      <c r="F27" s="519"/>
      <c r="G27" s="744"/>
    </row>
    <row r="28" spans="1:7" ht="15.6" thickTop="1" thickBot="1">
      <c r="B28" s="520"/>
      <c r="C28" s="521">
        <f>SUM(C23:C27)</f>
        <v>173847.1</v>
      </c>
      <c r="D28" s="521">
        <f t="shared" ref="D28:E28" si="2">SUM(D23:D27)</f>
        <v>146090</v>
      </c>
      <c r="E28" s="521">
        <f t="shared" si="2"/>
        <v>27757.1</v>
      </c>
      <c r="F28" s="520"/>
    </row>
    <row r="29" spans="1:7" ht="15" thickTop="1"/>
    <row r="30" spans="1:7">
      <c r="C30" t="s">
        <v>332</v>
      </c>
      <c r="D30" s="60">
        <f>+D28+D17</f>
        <v>146090</v>
      </c>
    </row>
    <row r="31" spans="1:7">
      <c r="C31" t="s">
        <v>333</v>
      </c>
      <c r="D31" s="60">
        <f>+E28+E17</f>
        <v>27757.1</v>
      </c>
    </row>
  </sheetData>
  <mergeCells count="5">
    <mergeCell ref="G23:G27"/>
    <mergeCell ref="E3:G3"/>
    <mergeCell ref="D20:F20"/>
    <mergeCell ref="A6:A8"/>
    <mergeCell ref="A11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G50-01</vt:lpstr>
      <vt:lpstr>G50-02</vt:lpstr>
      <vt:lpstr>G50-03</vt:lpstr>
      <vt:lpstr>G50-04</vt:lpstr>
      <vt:lpstr>PG-etat d'achat</vt:lpstr>
      <vt:lpstr>etat d'achat</vt:lpstr>
      <vt:lpstr>CA-GC+TRANSPORT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MSI</cp:lastModifiedBy>
  <cp:lastPrinted>2026-06-17T07:36:10Z</cp:lastPrinted>
  <dcterms:created xsi:type="dcterms:W3CDTF">2025-06-10T08:24:08Z</dcterms:created>
  <dcterms:modified xsi:type="dcterms:W3CDTF">2026-06-17T08:47:50Z</dcterms:modified>
</cp:coreProperties>
</file>